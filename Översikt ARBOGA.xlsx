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3321-2022</t>
        </is>
      </c>
      <c r="B2" t="inlineStr">
        <is>
          <t>samrådsanmälan</t>
        </is>
      </c>
      <c r="C2" t="inlineStr">
        <is>
          <t>Åtgärd i nyckelbiotop</t>
        </is>
      </c>
      <c r="D2" s="1" t="n">
        <v>44728</v>
      </c>
      <c r="E2" s="1" t="n">
        <v>46312</v>
      </c>
      <c r="F2" t="inlineStr">
        <is>
          <t>VÄSTMANLANDS LÄN</t>
        </is>
      </c>
      <c r="G2" t="inlineStr">
        <is>
          <t>ARBOGA</t>
        </is>
      </c>
      <c r="H2" t="inlineStr">
        <is>
          <t>Sveaskog</t>
        </is>
      </c>
      <c r="I2" t="n">
        <v>8.1</v>
      </c>
      <c r="J2" t="n">
        <v>4</v>
      </c>
      <c r="K2" t="n">
        <v>2</v>
      </c>
      <c r="L2" t="n">
        <v>4</v>
      </c>
      <c r="M2" t="n">
        <v>2</v>
      </c>
      <c r="N2" t="n">
        <v>1</v>
      </c>
      <c r="O2" t="n">
        <v>0</v>
      </c>
      <c r="P2" t="n">
        <v>0</v>
      </c>
      <c r="Q2" t="n">
        <v>7</v>
      </c>
      <c r="R2" t="n">
        <v>3</v>
      </c>
      <c r="S2" t="n">
        <v>10</v>
      </c>
      <c r="T2" t="n">
        <v>11</v>
      </c>
      <c r="U2" t="n">
        <v>9</v>
      </c>
      <c r="V2" s="2" t="inlineStr">
        <is>
          <t>Ask
Gulvit blekspik
Hussvala
Gullklöver
Ladusvala
Pilblad
Sädesärla
Brun nållav
Fällmossa
Skogsödla</t>
        </is>
      </c>
      <c r="W2">
        <f>HYPERLINK("https://klasma.github.io/Logging_1984/artfynd/S 3321-2022 artfynd.xlsx", "S 3321-2022")</f>
        <v/>
      </c>
      <c r="X2">
        <f>HYPERLINK("https://klasma.github.io/Logging_1984/kartor/S 3321-2022 karta.png", "S 3321-2022")</f>
        <v/>
      </c>
      <c r="Y2">
        <f>HYPERLINK("https://klasma.github.io/Logging_1984/kartor_geotiff/S 3321-2022 georefererad karta.tif", "S 3321-2022")</f>
        <v/>
      </c>
      <c r="AA2">
        <f>HYPERLINK("https://klasma.github.io/Logging_1984/klagomål/S 3321-2022 FSC-klagomål.docx", "S 3321-2022")</f>
        <v/>
      </c>
      <c r="AB2">
        <f>HYPERLINK("https://klasma.github.io/Logging_1984/klagomålsmail/S 3321-2022 FSC-klagomål mail.docx", "S 3321-2022")</f>
        <v/>
      </c>
      <c r="AC2">
        <f>HYPERLINK("https://klasma.github.io/Logging_1984/tillsyn/S 3321-2022 tillsynsbegäran.docx", "S 3321-2022")</f>
        <v/>
      </c>
      <c r="AD2">
        <f>HYPERLINK("https://klasma.github.io/Logging_1984/tillsynsmail/S 3321-2022 tillsynsbegäran mail.docx", "S 3321-2022")</f>
        <v/>
      </c>
      <c r="AE2">
        <f>HYPERLINK("https://klasma.github.io/Logging_1984/fåglar/S 3321-2022 prioriterade fågelarter.docx", "S 3321-2022")</f>
        <v/>
      </c>
    </row>
    <row r="3" ht="15" customHeight="1">
      <c r="A3" t="inlineStr">
        <is>
          <t>A 68939-2021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44530</v>
      </c>
      <c r="E3" s="1" t="n">
        <v>46312</v>
      </c>
      <c r="F3" t="inlineStr">
        <is>
          <t>VÄSTMANLANDS LÄN</t>
        </is>
      </c>
      <c r="G3" t="inlineStr">
        <is>
          <t>ARBOGA</t>
        </is>
      </c>
      <c r="H3" t="inlineStr">
        <is>
          <t>Kommuner</t>
        </is>
      </c>
      <c r="I3" t="n">
        <v>10</v>
      </c>
      <c r="J3" t="n">
        <v>8</v>
      </c>
      <c r="K3" t="n">
        <v>0</v>
      </c>
      <c r="L3" t="n">
        <v>2</v>
      </c>
      <c r="M3" t="n">
        <v>2</v>
      </c>
      <c r="N3" t="n">
        <v>0</v>
      </c>
      <c r="O3" t="n">
        <v>0</v>
      </c>
      <c r="P3" t="n">
        <v>0</v>
      </c>
      <c r="Q3" t="n">
        <v>4</v>
      </c>
      <c r="R3" t="n">
        <v>2</v>
      </c>
      <c r="S3" t="n">
        <v>8</v>
      </c>
      <c r="T3" t="n">
        <v>20</v>
      </c>
      <c r="U3" t="n">
        <v>20</v>
      </c>
      <c r="V3" s="2" t="inlineStr">
        <is>
          <t>Hussvala
Stare
Gulsparv
Järnsparv
Grönsiska
Kråka
Kungsfågel
Trana</t>
        </is>
      </c>
      <c r="W3">
        <f>HYPERLINK("https://klasma.github.io/Logging_1984/artfynd/A 68939-2021 artfynd.xlsx", "A 68939-2021")</f>
        <v/>
      </c>
      <c r="X3">
        <f>HYPERLINK("https://klasma.github.io/Logging_1984/kartor/A 68939-2021 karta.png", "A 68939-2021")</f>
        <v/>
      </c>
      <c r="Y3">
        <f>HYPERLINK("https://klasma.github.io/Logging_1984/kartor_geotiff/A 68939-2021 georefererad karta.tif", "A 68939-2021")</f>
        <v/>
      </c>
      <c r="AA3">
        <f>HYPERLINK("https://klasma.github.io/Logging_1984/klagomål/A 68939-2021 FSC-klagomål.docx", "A 68939-2021")</f>
        <v/>
      </c>
      <c r="AB3">
        <f>HYPERLINK("https://klasma.github.io/Logging_1984/klagomålsmail/A 68939-2021 FSC-klagomål mail.docx", "A 68939-2021")</f>
        <v/>
      </c>
      <c r="AC3">
        <f>HYPERLINK("https://klasma.github.io/Logging_1984/tillsyn/A 68939-2021 tillsynsbegäran.docx", "A 68939-2021")</f>
        <v/>
      </c>
      <c r="AD3">
        <f>HYPERLINK("https://klasma.github.io/Logging_1984/tillsynsmail/A 68939-2021 tillsynsbegäran mail.docx", "A 68939-2021")</f>
        <v/>
      </c>
      <c r="AE3">
        <f>HYPERLINK("https://klasma.github.io/Logging_1984/fåglar/A 68939-2021 prioriterade fågelarter.docx", "A 68939-2021")</f>
        <v/>
      </c>
    </row>
    <row r="4" ht="15" customHeight="1">
      <c r="A4" t="inlineStr">
        <is>
          <t>A 947-2025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45666</v>
      </c>
      <c r="E4" s="1" t="n">
        <v>46312</v>
      </c>
      <c r="F4" t="inlineStr">
        <is>
          <t>VÄSTMANLANDS LÄN</t>
        </is>
      </c>
      <c r="G4" t="inlineStr">
        <is>
          <t>ARBOGA</t>
        </is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7</v>
      </c>
      <c r="T4" t="n">
        <v>8</v>
      </c>
      <c r="U4" t="n">
        <v>8</v>
      </c>
      <c r="V4" s="2" t="inlineStr">
        <is>
          <t>Hjärtstilla
Bergsslok
Liljekonvalj
Sälg
Vitsippa
Ängskovall
Gullviva</t>
        </is>
      </c>
      <c r="W4">
        <f>HYPERLINK("https://klasma.github.io/Logging_1984/artfynd/A 947-2025 artfynd.xlsx", "A 947-2025")</f>
        <v/>
      </c>
      <c r="X4">
        <f>HYPERLINK("https://klasma.github.io/Logging_1984/kartor/A 947-2025 karta.png", "A 947-2025")</f>
        <v/>
      </c>
      <c r="Y4">
        <f>HYPERLINK("https://klasma.github.io/Logging_1984/kartor_geotiff/A 947-2025 georefererad karta.tif", "A 947-2025")</f>
        <v/>
      </c>
      <c r="AA4">
        <f>HYPERLINK("https://klasma.github.io/Logging_1984/klagomål/A 947-2025 FSC-klagomål.docx", "A 947-2025")</f>
        <v/>
      </c>
      <c r="AB4">
        <f>HYPERLINK("https://klasma.github.io/Logging_1984/klagomålsmail/A 947-2025 FSC-klagomål mail.docx", "A 947-2025")</f>
        <v/>
      </c>
      <c r="AC4">
        <f>HYPERLINK("https://klasma.github.io/Logging_1984/tillsyn/A 947-2025 tillsynsbegäran.docx", "A 947-2025")</f>
        <v/>
      </c>
      <c r="AD4">
        <f>HYPERLINK("https://klasma.github.io/Logging_1984/tillsynsmail/A 947-2025 tillsynsbegäran mail.docx", "A 947-2025")</f>
        <v/>
      </c>
    </row>
    <row r="5" ht="15" customHeight="1">
      <c r="A5" t="inlineStr">
        <is>
          <t>S 5962-2022</t>
        </is>
      </c>
      <c r="B5" t="inlineStr">
        <is>
          <t>samrådsanmälan</t>
        </is>
      </c>
      <c r="C5" t="inlineStr">
        <is>
          <t>Annan skogsbruksåtgärd</t>
        </is>
      </c>
      <c r="D5" s="1" t="n">
        <v>44858</v>
      </c>
      <c r="E5" s="1" t="n">
        <v>46312</v>
      </c>
      <c r="F5" t="inlineStr">
        <is>
          <t>VÄSTMANLANDS LÄN</t>
        </is>
      </c>
      <c r="G5" t="inlineStr">
        <is>
          <t>ARBOGA</t>
        </is>
      </c>
      <c r="H5" t="inlineStr">
        <is>
          <t>Sveaskog</t>
        </is>
      </c>
      <c r="I5" t="n">
        <v>20.8</v>
      </c>
      <c r="J5" t="n">
        <v>1</v>
      </c>
      <c r="K5" t="n">
        <v>2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3</v>
      </c>
      <c r="R5" t="n">
        <v>0</v>
      </c>
      <c r="S5" t="n">
        <v>6</v>
      </c>
      <c r="T5" t="n">
        <v>7</v>
      </c>
      <c r="U5" t="n">
        <v>4</v>
      </c>
      <c r="V5" s="2" t="inlineStr">
        <is>
          <t>Flattoppad klubbsvamp
Jungfrulin
Sädesärla
Svavelriska
Tibast
Liljekonvalj</t>
        </is>
      </c>
      <c r="W5">
        <f>HYPERLINK("https://klasma.github.io/Logging_1984/artfynd/S 5962-2022 artfynd.xlsx", "S 5962-2022")</f>
        <v/>
      </c>
      <c r="X5">
        <f>HYPERLINK("https://klasma.github.io/Logging_1984/kartor/S 5962-2022 karta.png", "S 5962-2022")</f>
        <v/>
      </c>
      <c r="Y5">
        <f>HYPERLINK("https://klasma.github.io/Logging_1984/kartor_geotiff/S 5962-2022 georefererad karta.tif", "S 5962-2022")</f>
        <v/>
      </c>
      <c r="AA5">
        <f>HYPERLINK("https://klasma.github.io/Logging_1984/klagomål/S 5962-2022 FSC-klagomål.docx", "S 5962-2022")</f>
        <v/>
      </c>
      <c r="AB5">
        <f>HYPERLINK("https://klasma.github.io/Logging_1984/klagomålsmail/S 5962-2022 FSC-klagomål mail.docx", "S 5962-2022")</f>
        <v/>
      </c>
      <c r="AC5">
        <f>HYPERLINK("https://klasma.github.io/Logging_1984/tillsyn/S 5962-2022 tillsynsbegäran.docx", "S 5962-2022")</f>
        <v/>
      </c>
      <c r="AD5">
        <f>HYPERLINK("https://klasma.github.io/Logging_1984/tillsynsmail/S 5962-2022 tillsynsbegäran mail.docx", "S 5962-2022")</f>
        <v/>
      </c>
      <c r="AE5">
        <f>HYPERLINK("https://klasma.github.io/Logging_1984/fåglar/S 5962-2022 prioriterade fågelarter.docx", "S 5962-2022")</f>
        <v/>
      </c>
    </row>
    <row r="6" ht="15" customHeight="1">
      <c r="A6" t="inlineStr">
        <is>
          <t>A 944-2025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45666</v>
      </c>
      <c r="E6" s="1" t="n">
        <v>46312</v>
      </c>
      <c r="F6" t="inlineStr">
        <is>
          <t>VÄSTMANLANDS LÄN</t>
        </is>
      </c>
      <c r="G6" t="inlineStr">
        <is>
          <t>ARBOGA</t>
        </is>
      </c>
      <c r="I6" t="n">
        <v>1.3</v>
      </c>
      <c r="J6" t="n">
        <v>0</v>
      </c>
      <c r="K6" t="n">
        <v>2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3</v>
      </c>
      <c r="T6" t="n">
        <v>3</v>
      </c>
      <c r="U6" t="n">
        <v>0</v>
      </c>
      <c r="V6" s="2" t="inlineStr">
        <is>
          <t>Koralltaggsvamp
Fällmossa
Rävticka</t>
        </is>
      </c>
      <c r="W6">
        <f>HYPERLINK("https://klasma.github.io/Logging_1984/artfynd/A 944-2025 artfynd.xlsx", "A 944-2025")</f>
        <v/>
      </c>
      <c r="X6">
        <f>HYPERLINK("https://klasma.github.io/Logging_1984/kartor/A 944-2025 karta.png", "A 944-2025")</f>
        <v/>
      </c>
      <c r="Y6">
        <f>HYPERLINK("https://klasma.github.io/Logging_1984/kartor_geotiff/A 944-2025 georefererad karta.tif", "A 944-2025")</f>
        <v/>
      </c>
      <c r="AA6">
        <f>HYPERLINK("https://klasma.github.io/Logging_1984/klagomål/A 944-2025 FSC-klagomål.docx", "A 944-2025")</f>
        <v/>
      </c>
      <c r="AB6">
        <f>HYPERLINK("https://klasma.github.io/Logging_1984/klagomålsmail/A 944-2025 FSC-klagomål mail.docx", "A 944-2025")</f>
        <v/>
      </c>
      <c r="AC6">
        <f>HYPERLINK("https://klasma.github.io/Logging_1984/tillsyn/A 944-2025 tillsynsbegäran.docx", "A 944-2025")</f>
        <v/>
      </c>
      <c r="AD6">
        <f>HYPERLINK("https://klasma.github.io/Logging_1984/tillsynsmail/A 944-2025 tillsynsbegäran mail.docx", "A 944-2025")</f>
        <v/>
      </c>
    </row>
    <row r="7" ht="15" customHeight="1">
      <c r="A7" t="inlineStr">
        <is>
          <t>A 26044-2025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45804</v>
      </c>
      <c r="E7" s="1" t="n">
        <v>46312</v>
      </c>
      <c r="F7" t="inlineStr">
        <is>
          <t>VÄSTMANLANDS LÄN</t>
        </is>
      </c>
      <c r="G7" t="inlineStr">
        <is>
          <t>ARBOGA</t>
        </is>
      </c>
      <c r="I7" t="n">
        <v>31.3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</v>
      </c>
      <c r="T7" t="n">
        <v>3</v>
      </c>
      <c r="U7" t="n">
        <v>3</v>
      </c>
      <c r="V7" s="2" t="inlineStr">
        <is>
          <t>Blåsippa
Getrams
Humleblomster</t>
        </is>
      </c>
      <c r="W7">
        <f>HYPERLINK("https://klasma.github.io/Logging_1984/artfynd/A 26044-2025 artfynd.xlsx", "A 26044-2025")</f>
        <v/>
      </c>
      <c r="X7">
        <f>HYPERLINK("https://klasma.github.io/Logging_1984/kartor/A 26044-2025 karta.png", "A 26044-2025")</f>
        <v/>
      </c>
      <c r="Y7">
        <f>HYPERLINK("https://klasma.github.io/Logging_1984/kartor_geotiff/A 26044-2025 georefererad karta.tif", "A 26044-2025")</f>
        <v/>
      </c>
      <c r="AA7">
        <f>HYPERLINK("https://klasma.github.io/Logging_1984/klagomål/A 26044-2025 FSC-klagomål.docx", "A 26044-2025")</f>
        <v/>
      </c>
      <c r="AB7">
        <f>HYPERLINK("https://klasma.github.io/Logging_1984/klagomålsmail/A 26044-2025 FSC-klagomål mail.docx", "A 26044-2025")</f>
        <v/>
      </c>
      <c r="AC7">
        <f>HYPERLINK("https://klasma.github.io/Logging_1984/tillsyn/A 26044-2025 tillsynsbegäran.docx", "A 26044-2025")</f>
        <v/>
      </c>
      <c r="AD7">
        <f>HYPERLINK("https://klasma.github.io/Logging_1984/tillsynsmail/A 26044-2025 tillsynsbegäran mail.docx", "A 26044-2025")</f>
        <v/>
      </c>
    </row>
    <row r="8" ht="15" customHeight="1">
      <c r="A8" t="inlineStr">
        <is>
          <t>A 46674-2023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45198</v>
      </c>
      <c r="E8" s="1" t="n">
        <v>46312</v>
      </c>
      <c r="F8" t="inlineStr">
        <is>
          <t>VÄSTMANLANDS LÄN</t>
        </is>
      </c>
      <c r="G8" t="inlineStr">
        <is>
          <t>ARBOGA</t>
        </is>
      </c>
      <c r="I8" t="n">
        <v>9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</v>
      </c>
      <c r="T8" t="n">
        <v>2</v>
      </c>
      <c r="U8" t="n">
        <v>2</v>
      </c>
      <c r="V8" s="2" t="inlineStr">
        <is>
          <t>Blåsippa
Getrams</t>
        </is>
      </c>
      <c r="W8">
        <f>HYPERLINK("https://klasma.github.io/Logging_1984/artfynd/A 46674-2023 artfynd.xlsx", "A 46674-2023")</f>
        <v/>
      </c>
      <c r="X8">
        <f>HYPERLINK("https://klasma.github.io/Logging_1984/kartor/A 46674-2023 karta.png", "A 46674-2023")</f>
        <v/>
      </c>
      <c r="Y8">
        <f>HYPERLINK("https://klasma.github.io/Logging_1984/kartor_geotiff/A 46674-2023 georefererad karta.tif", "A 46674-2023")</f>
        <v/>
      </c>
      <c r="AA8">
        <f>HYPERLINK("https://klasma.github.io/Logging_1984/klagomål/A 46674-2023 FSC-klagomål.docx", "A 46674-2023")</f>
        <v/>
      </c>
      <c r="AB8">
        <f>HYPERLINK("https://klasma.github.io/Logging_1984/klagomålsmail/A 46674-2023 FSC-klagomål mail.docx", "A 46674-2023")</f>
        <v/>
      </c>
      <c r="AC8">
        <f>HYPERLINK("https://klasma.github.io/Logging_1984/tillsyn/A 46674-2023 tillsynsbegäran.docx", "A 46674-2023")</f>
        <v/>
      </c>
      <c r="AD8">
        <f>HYPERLINK("https://klasma.github.io/Logging_1984/tillsynsmail/A 46674-2023 tillsynsbegäran mail.docx", "A 46674-2023")</f>
        <v/>
      </c>
    </row>
    <row r="9" ht="15" customHeight="1">
      <c r="A9" t="inlineStr">
        <is>
          <t>A 20064-2024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45434</v>
      </c>
      <c r="E9" s="1" t="n">
        <v>46312</v>
      </c>
      <c r="F9" t="inlineStr">
        <is>
          <t>VÄSTMANLANDS LÄN</t>
        </is>
      </c>
      <c r="G9" t="inlineStr">
        <is>
          <t>ARBOGA</t>
        </is>
      </c>
      <c r="I9" t="n">
        <v>7.1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2</v>
      </c>
      <c r="T9" t="n">
        <v>2</v>
      </c>
      <c r="U9" t="n">
        <v>0</v>
      </c>
      <c r="V9" s="2" t="inlineStr">
        <is>
          <t>Ask
Vanlig padda</t>
        </is>
      </c>
      <c r="W9">
        <f>HYPERLINK("https://klasma.github.io/Logging_1984/artfynd/A 20064-2024 artfynd.xlsx", "A 20064-2024")</f>
        <v/>
      </c>
      <c r="X9">
        <f>HYPERLINK("https://klasma.github.io/Logging_1984/kartor/A 20064-2024 karta.png", "A 20064-2024")</f>
        <v/>
      </c>
      <c r="Y9">
        <f>HYPERLINK("https://klasma.github.io/Logging_1984/kartor_geotiff/A 20064-2024 georefererad karta.tif", "A 20064-2024")</f>
        <v/>
      </c>
      <c r="AA9">
        <f>HYPERLINK("https://klasma.github.io/Logging_1984/klagomål/A 20064-2024 FSC-klagomål.docx", "A 20064-2024")</f>
        <v/>
      </c>
      <c r="AB9">
        <f>HYPERLINK("https://klasma.github.io/Logging_1984/klagomålsmail/A 20064-2024 FSC-klagomål mail.docx", "A 20064-2024")</f>
        <v/>
      </c>
      <c r="AC9">
        <f>HYPERLINK("https://klasma.github.io/Logging_1984/tillsyn/A 20064-2024 tillsynsbegäran.docx", "A 20064-2024")</f>
        <v/>
      </c>
      <c r="AD9">
        <f>HYPERLINK("https://klasma.github.io/Logging_1984/tillsynsmail/A 20064-2024 tillsynsbegäran mail.docx", "A 20064-2024")</f>
        <v/>
      </c>
    </row>
    <row r="10" ht="15" customHeight="1">
      <c r="A10" t="inlineStr">
        <is>
          <t>A 61994-2024</t>
        </is>
      </c>
      <c r="B10" t="inlineStr">
        <is>
          <t>avverkningsanmälan</t>
        </is>
      </c>
      <c r="C10" t="inlineStr">
        <is>
          <t>Avverkning för att bevara och utveckla /försöksver</t>
        </is>
      </c>
      <c r="D10" s="1" t="n">
        <v>45653</v>
      </c>
      <c r="E10" s="1" t="n">
        <v>46312</v>
      </c>
      <c r="F10" t="inlineStr">
        <is>
          <t>VÄSTMANLANDS LÄN</t>
        </is>
      </c>
      <c r="G10" t="inlineStr">
        <is>
          <t>ARBOGA</t>
        </is>
      </c>
      <c r="H10" t="inlineStr">
        <is>
          <t>Sveaskog</t>
        </is>
      </c>
      <c r="I10" t="n">
        <v>1.3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2</v>
      </c>
      <c r="U10" t="n">
        <v>0</v>
      </c>
      <c r="V10" s="2" t="inlineStr">
        <is>
          <t>Svart trolldruva
Grönvit nattviol</t>
        </is>
      </c>
      <c r="W10">
        <f>HYPERLINK("https://klasma.github.io/Logging_1984/artfynd/A 61994-2024 artfynd.xlsx", "A 61994-2024")</f>
        <v/>
      </c>
      <c r="X10">
        <f>HYPERLINK("https://klasma.github.io/Logging_1984/kartor/A 61994-2024 karta.png", "A 61994-2024")</f>
        <v/>
      </c>
      <c r="Y10">
        <f>HYPERLINK("https://klasma.github.io/Logging_1984/kartor_geotiff/A 61994-2024 georefererad karta.tif", "A 61994-2024")</f>
        <v/>
      </c>
      <c r="AA10">
        <f>HYPERLINK("https://klasma.github.io/Logging_1984/klagomål/A 61994-2024 FSC-klagomål.docx", "A 61994-2024")</f>
        <v/>
      </c>
      <c r="AB10">
        <f>HYPERLINK("https://klasma.github.io/Logging_1984/klagomålsmail/A 61994-2024 FSC-klagomål mail.docx", "A 61994-2024")</f>
        <v/>
      </c>
      <c r="AC10">
        <f>HYPERLINK("https://klasma.github.io/Logging_1984/tillsyn/A 61994-2024 tillsynsbegäran.docx", "A 61994-2024")</f>
        <v/>
      </c>
      <c r="AD10">
        <f>HYPERLINK("https://klasma.github.io/Logging_1984/tillsynsmail/A 61994-2024 tillsynsbegäran mail.docx", "A 61994-2024")</f>
        <v/>
      </c>
    </row>
    <row r="11" ht="15" customHeight="1">
      <c r="A11" t="inlineStr">
        <is>
          <t>A 64461-2021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44511</v>
      </c>
      <c r="E11" s="1" t="n">
        <v>46312</v>
      </c>
      <c r="F11" t="inlineStr">
        <is>
          <t>VÄSTMANLANDS LÄN</t>
        </is>
      </c>
      <c r="G11" t="inlineStr">
        <is>
          <t>ARBOGA</t>
        </is>
      </c>
      <c r="I11" t="n">
        <v>1.4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s="2" t="inlineStr">
        <is>
          <t>Vitsippa</t>
        </is>
      </c>
      <c r="W11">
        <f>HYPERLINK("https://klasma.github.io/Logging_1984/artfynd/A 64461-2021 artfynd.xlsx", "A 64461-2021")</f>
        <v/>
      </c>
      <c r="X11">
        <f>HYPERLINK("https://klasma.github.io/Logging_1984/kartor/A 64461-2021 karta.png", "A 64461-2021")</f>
        <v/>
      </c>
      <c r="Y11">
        <f>HYPERLINK("https://klasma.github.io/Logging_1984/kartor_geotiff/A 64461-2021 georefererad karta.tif", "A 64461-2021")</f>
        <v/>
      </c>
      <c r="AA11">
        <f>HYPERLINK("https://klasma.github.io/Logging_1984/klagomål/A 64461-2021 FSC-klagomål.docx", "A 64461-2021")</f>
        <v/>
      </c>
      <c r="AB11">
        <f>HYPERLINK("https://klasma.github.io/Logging_1984/klagomålsmail/A 64461-2021 FSC-klagomål mail.docx", "A 64461-2021")</f>
        <v/>
      </c>
      <c r="AC11">
        <f>HYPERLINK("https://klasma.github.io/Logging_1984/tillsyn/A 64461-2021 tillsynsbegäran.docx", "A 64461-2021")</f>
        <v/>
      </c>
      <c r="AD11">
        <f>HYPERLINK("https://klasma.github.io/Logging_1984/tillsynsmail/A 64461-2021 tillsynsbegäran mail.docx", "A 64461-2021")</f>
        <v/>
      </c>
    </row>
    <row r="12" ht="15" customHeight="1">
      <c r="A12" t="inlineStr">
        <is>
          <t>A 56463-2024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45625</v>
      </c>
      <c r="E12" s="1" t="n">
        <v>46312</v>
      </c>
      <c r="F12" t="inlineStr">
        <is>
          <t>VÄSTMANLANDS LÄN</t>
        </is>
      </c>
      <c r="G12" t="inlineStr">
        <is>
          <t>ARBOGA</t>
        </is>
      </c>
      <c r="H12" t="inlineStr">
        <is>
          <t>Kommuner</t>
        </is>
      </c>
      <c r="I12" t="n">
        <v>12.2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s="2" t="inlineStr">
        <is>
          <t>Scharlakansskål</t>
        </is>
      </c>
      <c r="W12">
        <f>HYPERLINK("https://klasma.github.io/Logging_1984/artfynd/A 56463-2024 artfynd.xlsx", "A 56463-2024")</f>
        <v/>
      </c>
      <c r="X12">
        <f>HYPERLINK("https://klasma.github.io/Logging_1984/kartor/A 56463-2024 karta.png", "A 56463-2024")</f>
        <v/>
      </c>
      <c r="Y12">
        <f>HYPERLINK("https://klasma.github.io/Logging_1984/kartor_geotiff/A 56463-2024 georefererad karta.tif", "A 56463-2024")</f>
        <v/>
      </c>
      <c r="AA12">
        <f>HYPERLINK("https://klasma.github.io/Logging_1984/klagomål/A 56463-2024 FSC-klagomål.docx", "A 56463-2024")</f>
        <v/>
      </c>
      <c r="AB12">
        <f>HYPERLINK("https://klasma.github.io/Logging_1984/klagomålsmail/A 56463-2024 FSC-klagomål mail.docx", "A 56463-2024")</f>
        <v/>
      </c>
      <c r="AC12">
        <f>HYPERLINK("https://klasma.github.io/Logging_1984/tillsyn/A 56463-2024 tillsynsbegäran.docx", "A 56463-2024")</f>
        <v/>
      </c>
      <c r="AD12">
        <f>HYPERLINK("https://klasma.github.io/Logging_1984/tillsynsmail/A 56463-2024 tillsynsbegäran mail.docx", "A 56463-2024")</f>
        <v/>
      </c>
    </row>
    <row r="13" ht="15" customHeight="1">
      <c r="A13" t="inlineStr">
        <is>
          <t>A 39832-2026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46289</v>
      </c>
      <c r="E13" s="1" t="n">
        <v>46312</v>
      </c>
      <c r="F13" t="inlineStr">
        <is>
          <t>VÄSTMANLANDS LÄN</t>
        </is>
      </c>
      <c r="G13" t="inlineStr">
        <is>
          <t>ARBOGA</t>
        </is>
      </c>
      <c r="H13" t="inlineStr">
        <is>
          <t>Sveaskog</t>
        </is>
      </c>
      <c r="I13" t="n">
        <v>6.2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s="2" t="inlineStr">
        <is>
          <t>Revlummer</t>
        </is>
      </c>
      <c r="W13">
        <f>HYPERLINK("https://klasma.github.io/Logging_1984/artfynd/A 39832-2026 artfynd.xlsx", "A 39832-2026")</f>
        <v/>
      </c>
      <c r="X13">
        <f>HYPERLINK("https://klasma.github.io/Logging_1984/kartor/A 39832-2026 karta.png", "A 39832-2026")</f>
        <v/>
      </c>
      <c r="Y13">
        <f>HYPERLINK("https://klasma.github.io/Logging_1984/kartor_geotiff/A 39832-2026 georefererad karta.tif", "A 39832-2026")</f>
        <v/>
      </c>
      <c r="AA13">
        <f>HYPERLINK("https://klasma.github.io/Logging_1984/klagomål/A 39832-2026 FSC-klagomål.docx", "A 39832-2026")</f>
        <v/>
      </c>
      <c r="AB13">
        <f>HYPERLINK("https://klasma.github.io/Logging_1984/klagomålsmail/A 39832-2026 FSC-klagomål mail.docx", "A 39832-2026")</f>
        <v/>
      </c>
      <c r="AC13">
        <f>HYPERLINK("https://klasma.github.io/Logging_1984/tillsyn/A 39832-2026 tillsynsbegäran.docx", "A 39832-2026")</f>
        <v/>
      </c>
      <c r="AD13">
        <f>HYPERLINK("https://klasma.github.io/Logging_1984/tillsynsmail/A 39832-2026 tillsynsbegäran mail.docx", "A 39832-2026")</f>
        <v/>
      </c>
    </row>
    <row r="14" ht="15" customHeight="1">
      <c r="A14" t="inlineStr">
        <is>
          <t>A 12909-2022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44642</v>
      </c>
      <c r="E14" s="1" t="n">
        <v>46312</v>
      </c>
      <c r="F14" t="inlineStr">
        <is>
          <t>VÄSTMANLANDS LÄN</t>
        </is>
      </c>
      <c r="G14" t="inlineStr">
        <is>
          <t>ARBOGA</t>
        </is>
      </c>
      <c r="I14" t="n">
        <v>1.2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s="2" t="inlineStr"/>
    </row>
    <row r="15" ht="15" customHeight="1">
      <c r="A15" t="inlineStr">
        <is>
          <t>A 68256-2021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44526</v>
      </c>
      <c r="E15" s="1" t="n">
        <v>46312</v>
      </c>
      <c r="F15" t="inlineStr">
        <is>
          <t>VÄSTMANLANDS LÄN</t>
        </is>
      </c>
      <c r="G15" t="inlineStr">
        <is>
          <t>ARBOGA</t>
        </is>
      </c>
      <c r="I15" t="n">
        <v>0.5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s="2" t="inlineStr"/>
    </row>
    <row r="16" ht="15" customHeight="1">
      <c r="A16" t="inlineStr">
        <is>
          <t>A 20271-2022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44698</v>
      </c>
      <c r="E16" s="1" t="n">
        <v>46312</v>
      </c>
      <c r="F16" t="inlineStr">
        <is>
          <t>VÄSTMANLANDS LÄN</t>
        </is>
      </c>
      <c r="G16" t="inlineStr">
        <is>
          <t>ARBOGA</t>
        </is>
      </c>
      <c r="I16" t="n">
        <v>0.4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2" t="inlineStr"/>
    </row>
    <row r="17" ht="15" customHeight="1">
      <c r="A17" t="inlineStr">
        <is>
          <t>A 46192-2022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44847</v>
      </c>
      <c r="E17" s="1" t="n">
        <v>46312</v>
      </c>
      <c r="F17" t="inlineStr">
        <is>
          <t>VÄSTMANLANDS LÄN</t>
        </is>
      </c>
      <c r="G17" t="inlineStr">
        <is>
          <t>ARBOGA</t>
        </is>
      </c>
      <c r="I17" t="n">
        <v>5.5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inlineStr"/>
    </row>
    <row r="18" ht="15" customHeight="1">
      <c r="A18" t="inlineStr">
        <is>
          <t>A 63811-2021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44509</v>
      </c>
      <c r="E18" s="1" t="n">
        <v>46312</v>
      </c>
      <c r="F18" t="inlineStr">
        <is>
          <t>VÄSTMANLANDS LÄN</t>
        </is>
      </c>
      <c r="G18" t="inlineStr">
        <is>
          <t>ARBOGA</t>
        </is>
      </c>
      <c r="I18" t="n">
        <v>3.5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27986-2022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44745</v>
      </c>
      <c r="E19" s="1" t="n">
        <v>46312</v>
      </c>
      <c r="F19" t="inlineStr">
        <is>
          <t>VÄSTMANLANDS LÄN</t>
        </is>
      </c>
      <c r="G19" t="inlineStr">
        <is>
          <t>ARBOGA</t>
        </is>
      </c>
      <c r="I19" t="n">
        <v>1.7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15776-2022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44663</v>
      </c>
      <c r="E20" s="1" t="n">
        <v>46312</v>
      </c>
      <c r="F20" t="inlineStr">
        <is>
          <t>VÄSTMANLANDS LÄN</t>
        </is>
      </c>
      <c r="G20" t="inlineStr">
        <is>
          <t>ARBOGA</t>
        </is>
      </c>
      <c r="I20" t="n">
        <v>1.3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64839-2021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44512</v>
      </c>
      <c r="E21" s="1" t="n">
        <v>46312</v>
      </c>
      <c r="F21" t="inlineStr">
        <is>
          <t>VÄSTMANLANDS LÄN</t>
        </is>
      </c>
      <c r="G21" t="inlineStr">
        <is>
          <t>ARBOGA</t>
        </is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70266-2021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44536</v>
      </c>
      <c r="E22" s="1" t="n">
        <v>46312</v>
      </c>
      <c r="F22" t="inlineStr">
        <is>
          <t>VÄSTMANLANDS LÄN</t>
        </is>
      </c>
      <c r="G22" t="inlineStr">
        <is>
          <t>ARBOGA</t>
        </is>
      </c>
      <c r="H22" t="inlineStr">
        <is>
          <t>Sveaskog</t>
        </is>
      </c>
      <c r="I22" t="n">
        <v>2.9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16174-2022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44668</v>
      </c>
      <c r="E23" s="1" t="n">
        <v>46312</v>
      </c>
      <c r="F23" t="inlineStr">
        <is>
          <t>VÄSTMANLANDS LÄN</t>
        </is>
      </c>
      <c r="G23" t="inlineStr">
        <is>
          <t>ARBOGA</t>
        </is>
      </c>
      <c r="I23" t="n">
        <v>2.1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16175-2022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44668</v>
      </c>
      <c r="E24" s="1" t="n">
        <v>46312</v>
      </c>
      <c r="F24" t="inlineStr">
        <is>
          <t>VÄSTMANLANDS LÄN</t>
        </is>
      </c>
      <c r="G24" t="inlineStr">
        <is>
          <t>ARBOGA</t>
        </is>
      </c>
      <c r="I24" t="n">
        <v>4.1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20445-2022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44699</v>
      </c>
      <c r="E25" s="1" t="n">
        <v>46312</v>
      </c>
      <c r="F25" t="inlineStr">
        <is>
          <t>VÄSTMANLANDS LÄN</t>
        </is>
      </c>
      <c r="G25" t="inlineStr">
        <is>
          <t>ARBOGA</t>
        </is>
      </c>
      <c r="I25" t="n">
        <v>4.6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24870-2022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44728</v>
      </c>
      <c r="E26" s="1" t="n">
        <v>46312</v>
      </c>
      <c r="F26" t="inlineStr">
        <is>
          <t>VÄSTMANLANDS LÄN</t>
        </is>
      </c>
      <c r="G26" t="inlineStr">
        <is>
          <t>ARBOGA</t>
        </is>
      </c>
      <c r="I26" t="n">
        <v>0.8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17062-2022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44676</v>
      </c>
      <c r="E27" s="1" t="n">
        <v>46312</v>
      </c>
      <c r="F27" t="inlineStr">
        <is>
          <t>VÄSTMANLANDS LÄN</t>
        </is>
      </c>
      <c r="G27" t="inlineStr">
        <is>
          <t>ARBOGA</t>
        </is>
      </c>
      <c r="I27" t="n">
        <v>0.4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69169-2021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44530</v>
      </c>
      <c r="E28" s="1" t="n">
        <v>46312</v>
      </c>
      <c r="F28" t="inlineStr">
        <is>
          <t>VÄSTMANLANDS LÄN</t>
        </is>
      </c>
      <c r="G28" t="inlineStr">
        <is>
          <t>ARBOGA</t>
        </is>
      </c>
      <c r="I28" t="n">
        <v>10.5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16116-2022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44665</v>
      </c>
      <c r="E29" s="1" t="n">
        <v>46312</v>
      </c>
      <c r="F29" t="inlineStr">
        <is>
          <t>VÄSTMANLANDS LÄN</t>
        </is>
      </c>
      <c r="G29" t="inlineStr">
        <is>
          <t>ARBOGA</t>
        </is>
      </c>
      <c r="I29" t="n">
        <v>2.7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16173-2022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44668</v>
      </c>
      <c r="E30" s="1" t="n">
        <v>46312</v>
      </c>
      <c r="F30" t="inlineStr">
        <is>
          <t>VÄSTMANLANDS LÄN</t>
        </is>
      </c>
      <c r="G30" t="inlineStr">
        <is>
          <t>ARBOGA</t>
        </is>
      </c>
      <c r="I30" t="n">
        <v>1.5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8125-2023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44974</v>
      </c>
      <c r="E31" s="1" t="n">
        <v>46312</v>
      </c>
      <c r="F31" t="inlineStr">
        <is>
          <t>VÄSTMANLANDS LÄN</t>
        </is>
      </c>
      <c r="G31" t="inlineStr">
        <is>
          <t>ARBOGA</t>
        </is>
      </c>
      <c r="H31" t="inlineStr">
        <is>
          <t>Allmännings- och besparingsskogar</t>
        </is>
      </c>
      <c r="I31" t="n">
        <v>14.1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49005-2023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45209</v>
      </c>
      <c r="E32" s="1" t="n">
        <v>46312</v>
      </c>
      <c r="F32" t="inlineStr">
        <is>
          <t>VÄSTMANLANDS LÄN</t>
        </is>
      </c>
      <c r="G32" t="inlineStr">
        <is>
          <t>ARBOGA</t>
        </is>
      </c>
      <c r="I32" t="n">
        <v>0.6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61388-2023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45264</v>
      </c>
      <c r="E33" s="1" t="n">
        <v>46312</v>
      </c>
      <c r="F33" t="inlineStr">
        <is>
          <t>VÄSTMANLANDS LÄN</t>
        </is>
      </c>
      <c r="G33" t="inlineStr">
        <is>
          <t>ARBOGA</t>
        </is>
      </c>
      <c r="I33" t="n">
        <v>1.7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61394-2023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45264</v>
      </c>
      <c r="E34" s="1" t="n">
        <v>46312</v>
      </c>
      <c r="F34" t="inlineStr">
        <is>
          <t>VÄSTMANLANDS LÄN</t>
        </is>
      </c>
      <c r="G34" t="inlineStr">
        <is>
          <t>ARBOGA</t>
        </is>
      </c>
      <c r="I34" t="n">
        <v>0.7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45797-2022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44844</v>
      </c>
      <c r="E35" s="1" t="n">
        <v>46312</v>
      </c>
      <c r="F35" t="inlineStr">
        <is>
          <t>VÄSTMANLANDS LÄN</t>
        </is>
      </c>
      <c r="G35" t="inlineStr">
        <is>
          <t>ARBOGA</t>
        </is>
      </c>
      <c r="I35" t="n">
        <v>2.5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9247-2024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45358</v>
      </c>
      <c r="E36" s="1" t="n">
        <v>46312</v>
      </c>
      <c r="F36" t="inlineStr">
        <is>
          <t>VÄSTMANLANDS LÄN</t>
        </is>
      </c>
      <c r="G36" t="inlineStr">
        <is>
          <t>ARBOGA</t>
        </is>
      </c>
      <c r="I36" t="n">
        <v>2.3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61892-2022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44917</v>
      </c>
      <c r="E37" s="1" t="n">
        <v>46312</v>
      </c>
      <c r="F37" t="inlineStr">
        <is>
          <t>VÄSTMANLANDS LÄN</t>
        </is>
      </c>
      <c r="G37" t="inlineStr">
        <is>
          <t>ARBOGA</t>
        </is>
      </c>
      <c r="I37" t="n">
        <v>10.9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59715-2021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44494</v>
      </c>
      <c r="E38" s="1" t="n">
        <v>46312</v>
      </c>
      <c r="F38" t="inlineStr">
        <is>
          <t>VÄSTMANLANDS LÄN</t>
        </is>
      </c>
      <c r="G38" t="inlineStr">
        <is>
          <t>ARBOGA</t>
        </is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744-2025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45665</v>
      </c>
      <c r="E39" s="1" t="n">
        <v>46312</v>
      </c>
      <c r="F39" t="inlineStr">
        <is>
          <t>VÄSTMANLANDS LÄN</t>
        </is>
      </c>
      <c r="G39" t="inlineStr">
        <is>
          <t>ARBOGA</t>
        </is>
      </c>
      <c r="I39" t="n">
        <v>1.6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61300-2023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45264</v>
      </c>
      <c r="E40" s="1" t="n">
        <v>46312</v>
      </c>
      <c r="F40" t="inlineStr">
        <is>
          <t>VÄSTMANLANDS LÄN</t>
        </is>
      </c>
      <c r="G40" t="inlineStr">
        <is>
          <t>ARBOGA</t>
        </is>
      </c>
      <c r="I40" t="n">
        <v>2.2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54094-2023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45232</v>
      </c>
      <c r="E41" s="1" t="n">
        <v>46312</v>
      </c>
      <c r="F41" t="inlineStr">
        <is>
          <t>VÄSTMANLANDS LÄN</t>
        </is>
      </c>
      <c r="G41" t="inlineStr">
        <is>
          <t>ARBOGA</t>
        </is>
      </c>
      <c r="I41" t="n">
        <v>3.8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3113-2022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44582</v>
      </c>
      <c r="E42" s="1" t="n">
        <v>46312</v>
      </c>
      <c r="F42" t="inlineStr">
        <is>
          <t>VÄSTMANLANDS LÄN</t>
        </is>
      </c>
      <c r="G42" t="inlineStr">
        <is>
          <t>ARBOGA</t>
        </is>
      </c>
      <c r="I42" t="n">
        <v>2.8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3128-2022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44582</v>
      </c>
      <c r="E43" s="1" t="n">
        <v>46312</v>
      </c>
      <c r="F43" t="inlineStr">
        <is>
          <t>VÄSTMANLANDS LÄN</t>
        </is>
      </c>
      <c r="G43" t="inlineStr">
        <is>
          <t>ARBOGA</t>
        </is>
      </c>
      <c r="I43" t="n">
        <v>5.3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16447-2022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44671</v>
      </c>
      <c r="E44" s="1" t="n">
        <v>46312</v>
      </c>
      <c r="F44" t="inlineStr">
        <is>
          <t>VÄSTMANLANDS LÄN</t>
        </is>
      </c>
      <c r="G44" t="inlineStr">
        <is>
          <t>ARBOGA</t>
        </is>
      </c>
      <c r="I44" t="n">
        <v>0.9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12650-2023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45000</v>
      </c>
      <c r="E45" s="1" t="n">
        <v>46312</v>
      </c>
      <c r="F45" t="inlineStr">
        <is>
          <t>VÄSTMANLANDS LÄN</t>
        </is>
      </c>
      <c r="G45" t="inlineStr">
        <is>
          <t>ARBOGA</t>
        </is>
      </c>
      <c r="I45" t="n">
        <v>1.2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5752-2025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45694</v>
      </c>
      <c r="E46" s="1" t="n">
        <v>46312</v>
      </c>
      <c r="F46" t="inlineStr">
        <is>
          <t>VÄSTMANLANDS LÄN</t>
        </is>
      </c>
      <c r="G46" t="inlineStr">
        <is>
          <t>ARBOGA</t>
        </is>
      </c>
      <c r="I46" t="n">
        <v>0.8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15711-2022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44663</v>
      </c>
      <c r="E47" s="1" t="n">
        <v>46312</v>
      </c>
      <c r="F47" t="inlineStr">
        <is>
          <t>VÄSTMANLANDS LÄN</t>
        </is>
      </c>
      <c r="G47" t="inlineStr">
        <is>
          <t>ARBOGA</t>
        </is>
      </c>
      <c r="I47" t="n">
        <v>0.6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65748-2021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44516</v>
      </c>
      <c r="E48" s="1" t="n">
        <v>46312</v>
      </c>
      <c r="F48" t="inlineStr">
        <is>
          <t>VÄSTMANLANDS LÄN</t>
        </is>
      </c>
      <c r="G48" t="inlineStr">
        <is>
          <t>ARBOGA</t>
        </is>
      </c>
      <c r="I48" t="n">
        <v>0.8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39780-2023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45167</v>
      </c>
      <c r="E49" s="1" t="n">
        <v>46312</v>
      </c>
      <c r="F49" t="inlineStr">
        <is>
          <t>VÄSTMANLANDS LÄN</t>
        </is>
      </c>
      <c r="G49" t="inlineStr">
        <is>
          <t>ARBOGA</t>
        </is>
      </c>
      <c r="I49" t="n">
        <v>7.1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32275-2024</t>
        </is>
      </c>
      <c r="B50" t="inlineStr">
        <is>
          <t>avverkningsanmälan</t>
        </is>
      </c>
      <c r="C50" t="inlineStr">
        <is>
          <t>Avverkning för annat ändamål</t>
        </is>
      </c>
      <c r="D50" s="1" t="n">
        <v>45512</v>
      </c>
      <c r="E50" s="1" t="n">
        <v>46312</v>
      </c>
      <c r="F50" t="inlineStr">
        <is>
          <t>VÄSTMANLANDS LÄN</t>
        </is>
      </c>
      <c r="G50" t="inlineStr">
        <is>
          <t>ARBOGA</t>
        </is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42045-2022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44830</v>
      </c>
      <c r="E51" s="1" t="n">
        <v>46312</v>
      </c>
      <c r="F51" t="inlineStr">
        <is>
          <t>VÄSTMANLANDS LÄN</t>
        </is>
      </c>
      <c r="G51" t="inlineStr">
        <is>
          <t>ARBOGA</t>
        </is>
      </c>
      <c r="I51" t="n">
        <v>2.4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60046-2022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44909</v>
      </c>
      <c r="E52" s="1" t="n">
        <v>46312</v>
      </c>
      <c r="F52" t="inlineStr">
        <is>
          <t>VÄSTMANLANDS LÄN</t>
        </is>
      </c>
      <c r="G52" t="inlineStr">
        <is>
          <t>ARBOGA</t>
        </is>
      </c>
      <c r="I52" t="n">
        <v>2.5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38299-2025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45883</v>
      </c>
      <c r="E53" s="1" t="n">
        <v>46312</v>
      </c>
      <c r="F53" t="inlineStr">
        <is>
          <t>VÄSTMANLANDS LÄN</t>
        </is>
      </c>
      <c r="G53" t="inlineStr">
        <is>
          <t>ARBOGA</t>
        </is>
      </c>
      <c r="I53" t="n">
        <v>9.199999999999999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48659-2024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45593</v>
      </c>
      <c r="E54" s="1" t="n">
        <v>46312</v>
      </c>
      <c r="F54" t="inlineStr">
        <is>
          <t>VÄSTMANLANDS LÄN</t>
        </is>
      </c>
      <c r="G54" t="inlineStr">
        <is>
          <t>ARBOGA</t>
        </is>
      </c>
      <c r="I54" t="n">
        <v>0.5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17708-2025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45758</v>
      </c>
      <c r="E55" s="1" t="n">
        <v>46312</v>
      </c>
      <c r="F55" t="inlineStr">
        <is>
          <t>VÄSTMANLANDS LÄN</t>
        </is>
      </c>
      <c r="G55" t="inlineStr">
        <is>
          <t>ARBOGA</t>
        </is>
      </c>
      <c r="I55" t="n">
        <v>2.3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53284-2024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45614</v>
      </c>
      <c r="E56" s="1" t="n">
        <v>46312</v>
      </c>
      <c r="F56" t="inlineStr">
        <is>
          <t>VÄSTMANLANDS LÄN</t>
        </is>
      </c>
      <c r="G56" t="inlineStr">
        <is>
          <t>ARBOGA</t>
        </is>
      </c>
      <c r="H56" t="inlineStr">
        <is>
          <t>Sveaskog</t>
        </is>
      </c>
      <c r="I56" t="n">
        <v>1.6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14057-2025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45740</v>
      </c>
      <c r="E57" s="1" t="n">
        <v>46312</v>
      </c>
      <c r="F57" t="inlineStr">
        <is>
          <t>VÄSTMANLANDS LÄN</t>
        </is>
      </c>
      <c r="G57" t="inlineStr">
        <is>
          <t>ARBOGA</t>
        </is>
      </c>
      <c r="I57" t="n">
        <v>4.8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14770-2024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45397</v>
      </c>
      <c r="E58" s="1" t="n">
        <v>46312</v>
      </c>
      <c r="F58" t="inlineStr">
        <is>
          <t>VÄSTMANLANDS LÄN</t>
        </is>
      </c>
      <c r="G58" t="inlineStr">
        <is>
          <t>ARBOGA</t>
        </is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14406-2025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45741</v>
      </c>
      <c r="E59" s="1" t="n">
        <v>46312</v>
      </c>
      <c r="F59" t="inlineStr">
        <is>
          <t>VÄSTMANLANDS LÄN</t>
        </is>
      </c>
      <c r="G59" t="inlineStr">
        <is>
          <t>ARBOGA</t>
        </is>
      </c>
      <c r="I59" t="n">
        <v>1.1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59970-2022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44909</v>
      </c>
      <c r="E60" s="1" t="n">
        <v>46312</v>
      </c>
      <c r="F60" t="inlineStr">
        <is>
          <t>VÄSTMANLANDS LÄN</t>
        </is>
      </c>
      <c r="G60" t="inlineStr">
        <is>
          <t>ARBOGA</t>
        </is>
      </c>
      <c r="I60" t="n">
        <v>2.5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61328-2023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45264</v>
      </c>
      <c r="E61" s="1" t="n">
        <v>46312</v>
      </c>
      <c r="F61" t="inlineStr">
        <is>
          <t>VÄSTMANLANDS LÄN</t>
        </is>
      </c>
      <c r="G61" t="inlineStr">
        <is>
          <t>ARBOGA</t>
        </is>
      </c>
      <c r="I61" t="n">
        <v>6.3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22735-2025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45789</v>
      </c>
      <c r="E62" s="1" t="n">
        <v>46312</v>
      </c>
      <c r="F62" t="inlineStr">
        <is>
          <t>VÄSTMANLANDS LÄN</t>
        </is>
      </c>
      <c r="G62" t="inlineStr">
        <is>
          <t>ARBOGA</t>
        </is>
      </c>
      <c r="I62" t="n">
        <v>1.1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45154-2025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45919</v>
      </c>
      <c r="E63" s="1" t="n">
        <v>46312</v>
      </c>
      <c r="F63" t="inlineStr">
        <is>
          <t>VÄSTMANLANDS LÄN</t>
        </is>
      </c>
      <c r="G63" t="inlineStr">
        <is>
          <t>ARBOGA</t>
        </is>
      </c>
      <c r="I63" t="n">
        <v>2.2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45128-2025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45919</v>
      </c>
      <c r="E64" s="1" t="n">
        <v>46312</v>
      </c>
      <c r="F64" t="inlineStr">
        <is>
          <t>VÄSTMANLANDS LÄN</t>
        </is>
      </c>
      <c r="G64" t="inlineStr">
        <is>
          <t>ARBOGA</t>
        </is>
      </c>
      <c r="I64" t="n">
        <v>0.3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45143-2025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45919</v>
      </c>
      <c r="E65" s="1" t="n">
        <v>46312</v>
      </c>
      <c r="F65" t="inlineStr">
        <is>
          <t>VÄSTMANLANDS LÄN</t>
        </is>
      </c>
      <c r="G65" t="inlineStr">
        <is>
          <t>ARBOGA</t>
        </is>
      </c>
      <c r="I65" t="n">
        <v>2.1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45116-2025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45919</v>
      </c>
      <c r="E66" s="1" t="n">
        <v>46312</v>
      </c>
      <c r="F66" t="inlineStr">
        <is>
          <t>VÄSTMANLANDS LÄN</t>
        </is>
      </c>
      <c r="G66" t="inlineStr">
        <is>
          <t>ARBOGA</t>
        </is>
      </c>
      <c r="I66" t="n">
        <v>1.4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68237-2021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44526</v>
      </c>
      <c r="E67" s="1" t="n">
        <v>46312</v>
      </c>
      <c r="F67" t="inlineStr">
        <is>
          <t>VÄSTMANLANDS LÄN</t>
        </is>
      </c>
      <c r="G67" t="inlineStr">
        <is>
          <t>ARBOGA</t>
        </is>
      </c>
      <c r="I67" t="n">
        <v>2.2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30323-2023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45111</v>
      </c>
      <c r="E68" s="1" t="n">
        <v>46312</v>
      </c>
      <c r="F68" t="inlineStr">
        <is>
          <t>VÄSTMANLANDS LÄN</t>
        </is>
      </c>
      <c r="G68" t="inlineStr">
        <is>
          <t>ARBOGA</t>
        </is>
      </c>
      <c r="I68" t="n">
        <v>2.1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48121-2025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45933</v>
      </c>
      <c r="E69" s="1" t="n">
        <v>46312</v>
      </c>
      <c r="F69" t="inlineStr">
        <is>
          <t>VÄSTMANLANDS LÄN</t>
        </is>
      </c>
      <c r="G69" t="inlineStr">
        <is>
          <t>ARBOGA</t>
        </is>
      </c>
      <c r="I69" t="n">
        <v>2.5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30305-2022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44760</v>
      </c>
      <c r="E70" s="1" t="n">
        <v>46312</v>
      </c>
      <c r="F70" t="inlineStr">
        <is>
          <t>VÄSTMANLANDS LÄN</t>
        </is>
      </c>
      <c r="G70" t="inlineStr">
        <is>
          <t>ARBOGA</t>
        </is>
      </c>
      <c r="I70" t="n">
        <v>0.3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3229-2025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45679</v>
      </c>
      <c r="E71" s="1" t="n">
        <v>46312</v>
      </c>
      <c r="F71" t="inlineStr">
        <is>
          <t>VÄSTMANLANDS LÄN</t>
        </is>
      </c>
      <c r="G71" t="inlineStr">
        <is>
          <t>ARBOGA</t>
        </is>
      </c>
      <c r="I71" t="n">
        <v>3.9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28069-2025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45817</v>
      </c>
      <c r="E72" s="1" t="n">
        <v>46312</v>
      </c>
      <c r="F72" t="inlineStr">
        <is>
          <t>VÄSTMANLANDS LÄN</t>
        </is>
      </c>
      <c r="G72" t="inlineStr">
        <is>
          <t>ARBOGA</t>
        </is>
      </c>
      <c r="I72" t="n">
        <v>0.9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51989-2025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45952</v>
      </c>
      <c r="E73" s="1" t="n">
        <v>46312</v>
      </c>
      <c r="F73" t="inlineStr">
        <is>
          <t>VÄSTMANLANDS LÄN</t>
        </is>
      </c>
      <c r="G73" t="inlineStr">
        <is>
          <t>ARBOGA</t>
        </is>
      </c>
      <c r="I73" t="n">
        <v>6.1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22355-2026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46154</v>
      </c>
      <c r="E74" s="1" t="n">
        <v>46312</v>
      </c>
      <c r="F74" t="inlineStr">
        <is>
          <t>VÄSTMANLANDS LÄN</t>
        </is>
      </c>
      <c r="G74" t="inlineStr">
        <is>
          <t>ARBOGA</t>
        </is>
      </c>
      <c r="I74" t="n">
        <v>13.6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29573-2022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44754</v>
      </c>
      <c r="E75" s="1" t="n">
        <v>46312</v>
      </c>
      <c r="F75" t="inlineStr">
        <is>
          <t>VÄSTMANLANDS LÄN</t>
        </is>
      </c>
      <c r="G75" t="inlineStr">
        <is>
          <t>ARBOGA</t>
        </is>
      </c>
      <c r="H75" t="inlineStr">
        <is>
          <t>Kyrkan</t>
        </is>
      </c>
      <c r="I75" t="n">
        <v>8.800000000000001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22392-2026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46154</v>
      </c>
      <c r="E76" s="1" t="n">
        <v>46312</v>
      </c>
      <c r="F76" t="inlineStr">
        <is>
          <t>VÄSTMANLANDS LÄN</t>
        </is>
      </c>
      <c r="G76" t="inlineStr">
        <is>
          <t>ARBOGA</t>
        </is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22787-2026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46157</v>
      </c>
      <c r="E77" s="1" t="n">
        <v>46312</v>
      </c>
      <c r="F77" t="inlineStr">
        <is>
          <t>VÄSTMANLANDS LÄN</t>
        </is>
      </c>
      <c r="G77" t="inlineStr">
        <is>
          <t>ARBOGA</t>
        </is>
      </c>
      <c r="I77" t="n">
        <v>1.7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22784-2026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46157</v>
      </c>
      <c r="E78" s="1" t="n">
        <v>46312</v>
      </c>
      <c r="F78" t="inlineStr">
        <is>
          <t>VÄSTMANLANDS LÄN</t>
        </is>
      </c>
      <c r="G78" t="inlineStr">
        <is>
          <t>ARBOGA</t>
        </is>
      </c>
      <c r="I78" t="n">
        <v>6.6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22785-2026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46157</v>
      </c>
      <c r="E79" s="1" t="n">
        <v>46312</v>
      </c>
      <c r="F79" t="inlineStr">
        <is>
          <t>VÄSTMANLANDS LÄN</t>
        </is>
      </c>
      <c r="G79" t="inlineStr">
        <is>
          <t>ARBOGA</t>
        </is>
      </c>
      <c r="I79" t="n">
        <v>2.4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10679-2024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45368</v>
      </c>
      <c r="E80" s="1" t="n">
        <v>46312</v>
      </c>
      <c r="F80" t="inlineStr">
        <is>
          <t>VÄSTMANLANDS LÄN</t>
        </is>
      </c>
      <c r="G80" t="inlineStr">
        <is>
          <t>ARBOGA</t>
        </is>
      </c>
      <c r="I80" t="n">
        <v>4.8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23046-2026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46161</v>
      </c>
      <c r="E81" s="1" t="n">
        <v>46312</v>
      </c>
      <c r="F81" t="inlineStr">
        <is>
          <t>VÄSTMANLANDS LÄN</t>
        </is>
      </c>
      <c r="G81" t="inlineStr">
        <is>
          <t>ARBOGA</t>
        </is>
      </c>
      <c r="I81" t="n">
        <v>1.5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23048-2026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46161</v>
      </c>
      <c r="E82" s="1" t="n">
        <v>46312</v>
      </c>
      <c r="F82" t="inlineStr">
        <is>
          <t>VÄSTMANLANDS LÄN</t>
        </is>
      </c>
      <c r="G82" t="inlineStr">
        <is>
          <t>ARBOGA</t>
        </is>
      </c>
      <c r="I82" t="n">
        <v>0.5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54470-2025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45965</v>
      </c>
      <c r="E83" s="1" t="n">
        <v>46312</v>
      </c>
      <c r="F83" t="inlineStr">
        <is>
          <t>VÄSTMANLANDS LÄN</t>
        </is>
      </c>
      <c r="G83" t="inlineStr">
        <is>
          <t>ARBOGA</t>
        </is>
      </c>
      <c r="H83" t="inlineStr">
        <is>
          <t>Sveaskog</t>
        </is>
      </c>
      <c r="I83" t="n">
        <v>11.6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54032-2025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45962</v>
      </c>
      <c r="E84" s="1" t="n">
        <v>46312</v>
      </c>
      <c r="F84" t="inlineStr">
        <is>
          <t>VÄSTMANLANDS LÄN</t>
        </is>
      </c>
      <c r="G84" t="inlineStr">
        <is>
          <t>ARBOGA</t>
        </is>
      </c>
      <c r="I84" t="n">
        <v>1.6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58196-2025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45983</v>
      </c>
      <c r="E85" s="1" t="n">
        <v>46312</v>
      </c>
      <c r="F85" t="inlineStr">
        <is>
          <t>VÄSTMANLANDS LÄN</t>
        </is>
      </c>
      <c r="G85" t="inlineStr">
        <is>
          <t>ARBOGA</t>
        </is>
      </c>
      <c r="I85" t="n">
        <v>13.2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58194-2025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45983</v>
      </c>
      <c r="E86" s="1" t="n">
        <v>46312</v>
      </c>
      <c r="F86" t="inlineStr">
        <is>
          <t>VÄSTMANLANDS LÄN</t>
        </is>
      </c>
      <c r="G86" t="inlineStr">
        <is>
          <t>ARBOGA</t>
        </is>
      </c>
      <c r="I86" t="n">
        <v>1.6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26633-2023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45092</v>
      </c>
      <c r="E87" s="1" t="n">
        <v>46312</v>
      </c>
      <c r="F87" t="inlineStr">
        <is>
          <t>VÄSTMANLANDS LÄN</t>
        </is>
      </c>
      <c r="G87" t="inlineStr">
        <is>
          <t>ARBOGA</t>
        </is>
      </c>
      <c r="I87" t="n">
        <v>0.8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58781-2025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45986</v>
      </c>
      <c r="E88" s="1" t="n">
        <v>46312</v>
      </c>
      <c r="F88" t="inlineStr">
        <is>
          <t>VÄSTMANLANDS LÄN</t>
        </is>
      </c>
      <c r="G88" t="inlineStr">
        <is>
          <t>ARBOGA</t>
        </is>
      </c>
      <c r="H88" t="inlineStr">
        <is>
          <t>Kyrkan</t>
        </is>
      </c>
      <c r="I88" t="n">
        <v>7.7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41490-2024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45560</v>
      </c>
      <c r="E89" s="1" t="n">
        <v>46312</v>
      </c>
      <c r="F89" t="inlineStr">
        <is>
          <t>VÄSTMANLANDS LÄN</t>
        </is>
      </c>
      <c r="G89" t="inlineStr">
        <is>
          <t>ARBOGA</t>
        </is>
      </c>
      <c r="I89" t="n">
        <v>2.9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15487-2022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44662</v>
      </c>
      <c r="E90" s="1" t="n">
        <v>46312</v>
      </c>
      <c r="F90" t="inlineStr">
        <is>
          <t>VÄSTMANLANDS LÄN</t>
        </is>
      </c>
      <c r="G90" t="inlineStr">
        <is>
          <t>ARBOGA</t>
        </is>
      </c>
      <c r="I90" t="n">
        <v>3.1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60880-2025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45999</v>
      </c>
      <c r="E91" s="1" t="n">
        <v>46312</v>
      </c>
      <c r="F91" t="inlineStr">
        <is>
          <t>VÄSTMANLANDS LÄN</t>
        </is>
      </c>
      <c r="G91" t="inlineStr">
        <is>
          <t>ARBOGA</t>
        </is>
      </c>
      <c r="H91" t="inlineStr">
        <is>
          <t>Allmännings- och besparingsskogar</t>
        </is>
      </c>
      <c r="I91" t="n">
        <v>8.6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24349-2026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46169</v>
      </c>
      <c r="E92" s="1" t="n">
        <v>46312</v>
      </c>
      <c r="F92" t="inlineStr">
        <is>
          <t>VÄSTMANLANDS LÄN</t>
        </is>
      </c>
      <c r="G92" t="inlineStr">
        <is>
          <t>ARBOGA</t>
        </is>
      </c>
      <c r="I92" t="n">
        <v>1.9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24083-2024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45456</v>
      </c>
      <c r="E93" s="1" t="n">
        <v>46312</v>
      </c>
      <c r="F93" t="inlineStr">
        <is>
          <t>VÄSTMANLANDS LÄN</t>
        </is>
      </c>
      <c r="G93" t="inlineStr">
        <is>
          <t>ARBOGA</t>
        </is>
      </c>
      <c r="I93" t="n">
        <v>7.5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61320-2023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45264</v>
      </c>
      <c r="E94" s="1" t="n">
        <v>46312</v>
      </c>
      <c r="F94" t="inlineStr">
        <is>
          <t>VÄSTMANLANDS LÄN</t>
        </is>
      </c>
      <c r="G94" t="inlineStr">
        <is>
          <t>ARBOGA</t>
        </is>
      </c>
      <c r="I94" t="n">
        <v>4.7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13121-2024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45385</v>
      </c>
      <c r="E95" s="1" t="n">
        <v>46312</v>
      </c>
      <c r="F95" t="inlineStr">
        <is>
          <t>VÄSTMANLANDS LÄN</t>
        </is>
      </c>
      <c r="G95" t="inlineStr">
        <is>
          <t>ARBOGA</t>
        </is>
      </c>
      <c r="I95" t="n">
        <v>1.4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14420-2023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45012</v>
      </c>
      <c r="E96" s="1" t="n">
        <v>46312</v>
      </c>
      <c r="F96" t="inlineStr">
        <is>
          <t>VÄSTMANLANDS LÄN</t>
        </is>
      </c>
      <c r="G96" t="inlineStr">
        <is>
          <t>ARBOGA</t>
        </is>
      </c>
      <c r="I96" t="n">
        <v>2.1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16178-2022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44668</v>
      </c>
      <c r="E97" s="1" t="n">
        <v>46312</v>
      </c>
      <c r="F97" t="inlineStr">
        <is>
          <t>VÄSTMANLANDS LÄN</t>
        </is>
      </c>
      <c r="G97" t="inlineStr">
        <is>
          <t>ARBOGA</t>
        </is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63357-2025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46010</v>
      </c>
      <c r="E98" s="1" t="n">
        <v>46312</v>
      </c>
      <c r="F98" t="inlineStr">
        <is>
          <t>VÄSTMANLANDS LÄN</t>
        </is>
      </c>
      <c r="G98" t="inlineStr">
        <is>
          <t>ARBOGA</t>
        </is>
      </c>
      <c r="I98" t="n">
        <v>0.7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53629-2023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45230</v>
      </c>
      <c r="E99" s="1" t="n">
        <v>46312</v>
      </c>
      <c r="F99" t="inlineStr">
        <is>
          <t>VÄSTMANLANDS LÄN</t>
        </is>
      </c>
      <c r="G99" t="inlineStr">
        <is>
          <t>ARBOGA</t>
        </is>
      </c>
      <c r="I99" t="n">
        <v>3.1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19387-2024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45429</v>
      </c>
      <c r="E100" s="1" t="n">
        <v>46312</v>
      </c>
      <c r="F100" t="inlineStr">
        <is>
          <t>VÄSTMANLANDS LÄN</t>
        </is>
      </c>
      <c r="G100" t="inlineStr">
        <is>
          <t>ARBOGA</t>
        </is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26103-2026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46177</v>
      </c>
      <c r="E101" s="1" t="n">
        <v>46312</v>
      </c>
      <c r="F101" t="inlineStr">
        <is>
          <t>VÄSTMANLANDS LÄN</t>
        </is>
      </c>
      <c r="G101" t="inlineStr">
        <is>
          <t>ARBOGA</t>
        </is>
      </c>
      <c r="I101" t="n">
        <v>2.4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26136-2026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46177</v>
      </c>
      <c r="E102" s="1" t="n">
        <v>46312</v>
      </c>
      <c r="F102" t="inlineStr">
        <is>
          <t>VÄSTMANLANDS LÄN</t>
        </is>
      </c>
      <c r="G102" t="inlineStr">
        <is>
          <t>ARBOGA</t>
        </is>
      </c>
      <c r="I102" t="n">
        <v>2.3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993-2026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46030</v>
      </c>
      <c r="E103" s="1" t="n">
        <v>46312</v>
      </c>
      <c r="F103" t="inlineStr">
        <is>
          <t>VÄSTMANLANDS LÄN</t>
        </is>
      </c>
      <c r="G103" t="inlineStr">
        <is>
          <t>ARBOGA</t>
        </is>
      </c>
      <c r="I103" t="n">
        <v>0.8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1012-2026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46030</v>
      </c>
      <c r="E104" s="1" t="n">
        <v>46312</v>
      </c>
      <c r="F104" t="inlineStr">
        <is>
          <t>VÄSTMANLANDS LÄN</t>
        </is>
      </c>
      <c r="G104" t="inlineStr">
        <is>
          <t>ARBOGA</t>
        </is>
      </c>
      <c r="I104" t="n">
        <v>1.6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9238-2025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45714</v>
      </c>
      <c r="E105" s="1" t="n">
        <v>46312</v>
      </c>
      <c r="F105" t="inlineStr">
        <is>
          <t>VÄSTMANLANDS LÄN</t>
        </is>
      </c>
      <c r="G105" t="inlineStr">
        <is>
          <t>ARBOGA</t>
        </is>
      </c>
      <c r="I105" t="n">
        <v>0.8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26130-2026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46177</v>
      </c>
      <c r="E106" s="1" t="n">
        <v>46312</v>
      </c>
      <c r="F106" t="inlineStr">
        <is>
          <t>VÄSTMANLANDS LÄN</t>
        </is>
      </c>
      <c r="G106" t="inlineStr">
        <is>
          <t>ARBOGA</t>
        </is>
      </c>
      <c r="I106" t="n">
        <v>1.3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26134-2026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46177</v>
      </c>
      <c r="E107" s="1" t="n">
        <v>46312</v>
      </c>
      <c r="F107" t="inlineStr">
        <is>
          <t>VÄSTMANLANDS LÄN</t>
        </is>
      </c>
      <c r="G107" t="inlineStr">
        <is>
          <t>ARBOGA</t>
        </is>
      </c>
      <c r="I107" t="n">
        <v>1.4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2656-2026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46037</v>
      </c>
      <c r="E108" s="1" t="n">
        <v>46312</v>
      </c>
      <c r="F108" t="inlineStr">
        <is>
          <t>VÄSTMANLANDS LÄN</t>
        </is>
      </c>
      <c r="G108" t="inlineStr">
        <is>
          <t>ARBOGA</t>
        </is>
      </c>
      <c r="I108" t="n">
        <v>9.1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26302-2026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46181</v>
      </c>
      <c r="E109" s="1" t="n">
        <v>46312</v>
      </c>
      <c r="F109" t="inlineStr">
        <is>
          <t>VÄSTMANLANDS LÄN</t>
        </is>
      </c>
      <c r="G109" t="inlineStr">
        <is>
          <t>ARBOGA</t>
        </is>
      </c>
      <c r="I109" t="n">
        <v>1.2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52433-2024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45608</v>
      </c>
      <c r="E110" s="1" t="n">
        <v>46312</v>
      </c>
      <c r="F110" t="inlineStr">
        <is>
          <t>VÄSTMANLANDS LÄN</t>
        </is>
      </c>
      <c r="G110" t="inlineStr">
        <is>
          <t>ARBOGA</t>
        </is>
      </c>
      <c r="I110" t="n">
        <v>1.4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20067-2024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45434</v>
      </c>
      <c r="E111" s="1" t="n">
        <v>46312</v>
      </c>
      <c r="F111" t="inlineStr">
        <is>
          <t>VÄSTMANLANDS LÄN</t>
        </is>
      </c>
      <c r="G111" t="inlineStr">
        <is>
          <t>ARBOGA</t>
        </is>
      </c>
      <c r="I111" t="n">
        <v>3.1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6698-2022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44602</v>
      </c>
      <c r="E112" s="1" t="n">
        <v>46312</v>
      </c>
      <c r="F112" t="inlineStr">
        <is>
          <t>VÄSTMANLANDS LÄN</t>
        </is>
      </c>
      <c r="G112" t="inlineStr">
        <is>
          <t>ARBOGA</t>
        </is>
      </c>
      <c r="I112" t="n">
        <v>1.1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7786-2025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45706</v>
      </c>
      <c r="E113" s="1" t="n">
        <v>46312</v>
      </c>
      <c r="F113" t="inlineStr">
        <is>
          <t>VÄSTMANLANDS LÄN</t>
        </is>
      </c>
      <c r="G113" t="inlineStr">
        <is>
          <t>ARBOGA</t>
        </is>
      </c>
      <c r="I113" t="n">
        <v>0.6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10702-2026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46078</v>
      </c>
      <c r="E114" s="1" t="n">
        <v>46312</v>
      </c>
      <c r="F114" t="inlineStr">
        <is>
          <t>VÄSTMANLANDS LÄN</t>
        </is>
      </c>
      <c r="G114" t="inlineStr">
        <is>
          <t>ARBOGA</t>
        </is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10698-2026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46078</v>
      </c>
      <c r="E115" s="1" t="n">
        <v>46312</v>
      </c>
      <c r="F115" t="inlineStr">
        <is>
          <t>VÄSTMANLANDS LÄN</t>
        </is>
      </c>
      <c r="G115" t="inlineStr">
        <is>
          <t>ARBOGA</t>
        </is>
      </c>
      <c r="I115" t="n">
        <v>0.4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10665-2026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46078</v>
      </c>
      <c r="E116" s="1" t="n">
        <v>46312</v>
      </c>
      <c r="F116" t="inlineStr">
        <is>
          <t>VÄSTMANLANDS LÄN</t>
        </is>
      </c>
      <c r="G116" t="inlineStr">
        <is>
          <t>ARBOGA</t>
        </is>
      </c>
      <c r="I116" t="n">
        <v>0.3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32224-2022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44781</v>
      </c>
      <c r="E117" s="1" t="n">
        <v>46312</v>
      </c>
      <c r="F117" t="inlineStr">
        <is>
          <t>VÄSTMANLANDS LÄN</t>
        </is>
      </c>
      <c r="G117" t="inlineStr">
        <is>
          <t>ARBOGA</t>
        </is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64833-2021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44512</v>
      </c>
      <c r="E118" s="1" t="n">
        <v>46312</v>
      </c>
      <c r="F118" t="inlineStr">
        <is>
          <t>VÄSTMANLANDS LÄN</t>
        </is>
      </c>
      <c r="G118" t="inlineStr">
        <is>
          <t>ARBOGA</t>
        </is>
      </c>
      <c r="I118" t="n">
        <v>1.5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10699-2026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46078</v>
      </c>
      <c r="E119" s="1" t="n">
        <v>46312</v>
      </c>
      <c r="F119" t="inlineStr">
        <is>
          <t>VÄSTMANLANDS LÄN</t>
        </is>
      </c>
      <c r="G119" t="inlineStr">
        <is>
          <t>ARBOGA</t>
        </is>
      </c>
      <c r="I119" t="n">
        <v>1.9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28033-2026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46195</v>
      </c>
      <c r="E120" s="1" t="n">
        <v>46312</v>
      </c>
      <c r="F120" t="inlineStr">
        <is>
          <t>VÄSTMANLANDS LÄN</t>
        </is>
      </c>
      <c r="G120" t="inlineStr">
        <is>
          <t>ARBOGA</t>
        </is>
      </c>
      <c r="H120" t="inlineStr">
        <is>
          <t>Kyrkan</t>
        </is>
      </c>
      <c r="I120" t="n">
        <v>1.1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15406-2026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46106</v>
      </c>
      <c r="E121" s="1" t="n">
        <v>46312</v>
      </c>
      <c r="F121" t="inlineStr">
        <is>
          <t>VÄSTMANLANDS LÄN</t>
        </is>
      </c>
      <c r="G121" t="inlineStr">
        <is>
          <t>ARBOGA</t>
        </is>
      </c>
      <c r="H121" t="inlineStr">
        <is>
          <t>Allmännings- och besparingsskogar</t>
        </is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13595-2023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45006</v>
      </c>
      <c r="E122" s="1" t="n">
        <v>46312</v>
      </c>
      <c r="F122" t="inlineStr">
        <is>
          <t>VÄSTMANLANDS LÄN</t>
        </is>
      </c>
      <c r="G122" t="inlineStr">
        <is>
          <t>ARBOGA</t>
        </is>
      </c>
      <c r="I122" t="n">
        <v>1.3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8818-2023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44978</v>
      </c>
      <c r="E123" s="1" t="n">
        <v>46312</v>
      </c>
      <c r="F123" t="inlineStr">
        <is>
          <t>VÄSTMANLANDS LÄN</t>
        </is>
      </c>
      <c r="G123" t="inlineStr">
        <is>
          <t>ARBOGA</t>
        </is>
      </c>
      <c r="I123" t="n">
        <v>3.6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17783-2026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46122</v>
      </c>
      <c r="E124" s="1" t="n">
        <v>46312</v>
      </c>
      <c r="F124" t="inlineStr">
        <is>
          <t>VÄSTMANLANDS LÄN</t>
        </is>
      </c>
      <c r="G124" t="inlineStr">
        <is>
          <t>ARBOGA</t>
        </is>
      </c>
      <c r="I124" t="n">
        <v>6.4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5459-2023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44960</v>
      </c>
      <c r="E125" s="1" t="n">
        <v>46312</v>
      </c>
      <c r="F125" t="inlineStr">
        <is>
          <t>VÄSTMANLANDS LÄN</t>
        </is>
      </c>
      <c r="G125" t="inlineStr">
        <is>
          <t>ARBOGA</t>
        </is>
      </c>
      <c r="H125" t="inlineStr">
        <is>
          <t>Allmännings- och besparingsskogar</t>
        </is>
      </c>
      <c r="I125" t="n">
        <v>14.8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18827-2026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46128</v>
      </c>
      <c r="E126" s="1" t="n">
        <v>46312</v>
      </c>
      <c r="F126" t="inlineStr">
        <is>
          <t>VÄSTMANLANDS LÄN</t>
        </is>
      </c>
      <c r="G126" t="inlineStr">
        <is>
          <t>ARBOGA</t>
        </is>
      </c>
      <c r="I126" t="n">
        <v>1.1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6528-2025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45699</v>
      </c>
      <c r="E127" s="1" t="n">
        <v>46312</v>
      </c>
      <c r="F127" t="inlineStr">
        <is>
          <t>VÄSTMANLANDS LÄN</t>
        </is>
      </c>
      <c r="G127" t="inlineStr">
        <is>
          <t>ARBOGA</t>
        </is>
      </c>
      <c r="I127" t="n">
        <v>5.4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12405-2024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45379</v>
      </c>
      <c r="E128" s="1" t="n">
        <v>46312</v>
      </c>
      <c r="F128" t="inlineStr">
        <is>
          <t>VÄSTMANLANDS LÄN</t>
        </is>
      </c>
      <c r="G128" t="inlineStr">
        <is>
          <t>ARBOGA</t>
        </is>
      </c>
      <c r="I128" t="n">
        <v>1.3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29571-2026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46204</v>
      </c>
      <c r="E129" s="1" t="n">
        <v>46312</v>
      </c>
      <c r="F129" t="inlineStr">
        <is>
          <t>VÄSTMANLANDS LÄN</t>
        </is>
      </c>
      <c r="G129" t="inlineStr">
        <is>
          <t>ARBOGA</t>
        </is>
      </c>
      <c r="I129" t="n">
        <v>3.3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10617-2023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44988</v>
      </c>
      <c r="E130" s="1" t="n">
        <v>46312</v>
      </c>
      <c r="F130" t="inlineStr">
        <is>
          <t>VÄSTMANLANDS LÄN</t>
        </is>
      </c>
      <c r="G130" t="inlineStr">
        <is>
          <t>ARBOGA</t>
        </is>
      </c>
      <c r="I130" t="n">
        <v>3.5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30066-2026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46206</v>
      </c>
      <c r="E131" s="1" t="n">
        <v>46312</v>
      </c>
      <c r="F131" t="inlineStr">
        <is>
          <t>VÄSTMANLANDS LÄN</t>
        </is>
      </c>
      <c r="G131" t="inlineStr">
        <is>
          <t>ARBOGA</t>
        </is>
      </c>
      <c r="I131" t="n">
        <v>0.7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30067-2026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46206</v>
      </c>
      <c r="E132" s="1" t="n">
        <v>46312</v>
      </c>
      <c r="F132" t="inlineStr">
        <is>
          <t>VÄSTMANLANDS LÄN</t>
        </is>
      </c>
      <c r="G132" t="inlineStr">
        <is>
          <t>ARBOGA</t>
        </is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30092-2026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46206</v>
      </c>
      <c r="E133" s="1" t="n">
        <v>46312</v>
      </c>
      <c r="F133" t="inlineStr">
        <is>
          <t>VÄSTMANLANDS LÄN</t>
        </is>
      </c>
      <c r="G133" t="inlineStr">
        <is>
          <t>ARBOGA</t>
        </is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30086-2026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46206</v>
      </c>
      <c r="E134" s="1" t="n">
        <v>46312</v>
      </c>
      <c r="F134" t="inlineStr">
        <is>
          <t>VÄSTMANLANDS LÄN</t>
        </is>
      </c>
      <c r="G134" t="inlineStr">
        <is>
          <t>ARBOGA</t>
        </is>
      </c>
      <c r="I134" t="n">
        <v>1.1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30063-2026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46206</v>
      </c>
      <c r="E135" s="1" t="n">
        <v>46312</v>
      </c>
      <c r="F135" t="inlineStr">
        <is>
          <t>VÄSTMANLANDS LÄN</t>
        </is>
      </c>
      <c r="G135" t="inlineStr">
        <is>
          <t>ARBOGA</t>
        </is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30073-2026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46206</v>
      </c>
      <c r="E136" s="1" t="n">
        <v>46312</v>
      </c>
      <c r="F136" t="inlineStr">
        <is>
          <t>VÄSTMANLANDS LÄN</t>
        </is>
      </c>
      <c r="G136" t="inlineStr">
        <is>
          <t>ARBOGA</t>
        </is>
      </c>
      <c r="I136" t="n">
        <v>1.6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24353-2026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46169</v>
      </c>
      <c r="E137" s="1" t="n">
        <v>46312</v>
      </c>
      <c r="F137" t="inlineStr">
        <is>
          <t>VÄSTMANLANDS LÄN</t>
        </is>
      </c>
      <c r="G137" t="inlineStr">
        <is>
          <t>ARBOGA</t>
        </is>
      </c>
      <c r="I137" t="n">
        <v>3.6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56345-2023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45243</v>
      </c>
      <c r="E138" s="1" t="n">
        <v>46312</v>
      </c>
      <c r="F138" t="inlineStr">
        <is>
          <t>VÄSTMANLANDS LÄN</t>
        </is>
      </c>
      <c r="G138" t="inlineStr">
        <is>
          <t>ARBOGA</t>
        </is>
      </c>
      <c r="H138" t="inlineStr">
        <is>
          <t>Kommuner</t>
        </is>
      </c>
      <c r="I138" t="n">
        <v>3.7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24344-2026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46169</v>
      </c>
      <c r="E139" s="1" t="n">
        <v>46312</v>
      </c>
      <c r="F139" t="inlineStr">
        <is>
          <t>VÄSTMANLANDS LÄN</t>
        </is>
      </c>
      <c r="G139" t="inlineStr">
        <is>
          <t>ARBOGA</t>
        </is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29999-2023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45109</v>
      </c>
      <c r="E140" s="1" t="n">
        <v>46312</v>
      </c>
      <c r="F140" t="inlineStr">
        <is>
          <t>VÄSTMANLANDS LÄN</t>
        </is>
      </c>
      <c r="G140" t="inlineStr">
        <is>
          <t>ARBOGA</t>
        </is>
      </c>
      <c r="I140" t="n">
        <v>5.9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24334-2026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46169</v>
      </c>
      <c r="E141" s="1" t="n">
        <v>46312</v>
      </c>
      <c r="F141" t="inlineStr">
        <is>
          <t>VÄSTMANLANDS LÄN</t>
        </is>
      </c>
      <c r="G141" t="inlineStr">
        <is>
          <t>ARBOGA</t>
        </is>
      </c>
      <c r="I141" t="n">
        <v>1.2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16576-2024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45408</v>
      </c>
      <c r="E142" s="1" t="n">
        <v>46312</v>
      </c>
      <c r="F142" t="inlineStr">
        <is>
          <t>VÄSTMANLANDS LÄN</t>
        </is>
      </c>
      <c r="G142" t="inlineStr">
        <is>
          <t>ARBOGA</t>
        </is>
      </c>
      <c r="I142" t="n">
        <v>4.2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10286-2022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44622</v>
      </c>
      <c r="E143" s="1" t="n">
        <v>46312</v>
      </c>
      <c r="F143" t="inlineStr">
        <is>
          <t>VÄSTMANLANDS LÄN</t>
        </is>
      </c>
      <c r="G143" t="inlineStr">
        <is>
          <t>ARBOGA</t>
        </is>
      </c>
      <c r="I143" t="n">
        <v>4.5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37601-2023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45159</v>
      </c>
      <c r="E144" s="1" t="n">
        <v>46312</v>
      </c>
      <c r="F144" t="inlineStr">
        <is>
          <t>VÄSTMANLANDS LÄN</t>
        </is>
      </c>
      <c r="G144" t="inlineStr">
        <is>
          <t>ARBOGA</t>
        </is>
      </c>
      <c r="I144" t="n">
        <v>7.3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37385-2026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46275</v>
      </c>
      <c r="E145" s="1" t="n">
        <v>46312</v>
      </c>
      <c r="F145" t="inlineStr">
        <is>
          <t>VÄSTMANLANDS LÄN</t>
        </is>
      </c>
      <c r="G145" t="inlineStr">
        <is>
          <t>ARBOGA</t>
        </is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37386-2026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46275</v>
      </c>
      <c r="E146" s="1" t="n">
        <v>46312</v>
      </c>
      <c r="F146" t="inlineStr">
        <is>
          <t>VÄSTMANLANDS LÄN</t>
        </is>
      </c>
      <c r="G146" t="inlineStr">
        <is>
          <t>ARBOGA</t>
        </is>
      </c>
      <c r="I146" t="n">
        <v>1.4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37392-2026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46275</v>
      </c>
      <c r="E147" s="1" t="n">
        <v>46312</v>
      </c>
      <c r="F147" t="inlineStr">
        <is>
          <t>VÄSTMANLANDS LÄN</t>
        </is>
      </c>
      <c r="G147" t="inlineStr">
        <is>
          <t>ARBOGA</t>
        </is>
      </c>
      <c r="I147" t="n">
        <v>2.8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37396-2026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46275</v>
      </c>
      <c r="E148" s="1" t="n">
        <v>46312</v>
      </c>
      <c r="F148" t="inlineStr">
        <is>
          <t>VÄSTMANLANDS LÄN</t>
        </is>
      </c>
      <c r="G148" t="inlineStr">
        <is>
          <t>ARBOGA</t>
        </is>
      </c>
      <c r="I148" t="n">
        <v>1.4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37397-2026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46275</v>
      </c>
      <c r="E149" s="1" t="n">
        <v>46312</v>
      </c>
      <c r="F149" t="inlineStr">
        <is>
          <t>VÄSTMANLANDS LÄN</t>
        </is>
      </c>
      <c r="G149" t="inlineStr">
        <is>
          <t>ARBOGA</t>
        </is>
      </c>
      <c r="I149" t="n">
        <v>2.9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33809-2022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44790</v>
      </c>
      <c r="E150" s="1" t="n">
        <v>46312</v>
      </c>
      <c r="F150" t="inlineStr">
        <is>
          <t>VÄSTMANLANDS LÄN</t>
        </is>
      </c>
      <c r="G150" t="inlineStr">
        <is>
          <t>ARBOGA</t>
        </is>
      </c>
      <c r="I150" t="n">
        <v>2.4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55457-2022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44887</v>
      </c>
      <c r="E151" s="1" t="n">
        <v>46312</v>
      </c>
      <c r="F151" t="inlineStr">
        <is>
          <t>VÄSTMANLANDS LÄN</t>
        </is>
      </c>
      <c r="G151" t="inlineStr">
        <is>
          <t>ARBOGA</t>
        </is>
      </c>
      <c r="I151" t="n">
        <v>2.2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37404-2026</t>
        </is>
      </c>
      <c r="B152" t="inlineStr">
        <is>
          <t>avverkningsanmälan</t>
        </is>
      </c>
      <c r="C152" t="inlineStr">
        <is>
          <t>Avverkning för annat ändamål</t>
        </is>
      </c>
      <c r="D152" s="1" t="n">
        <v>46275</v>
      </c>
      <c r="E152" s="1" t="n">
        <v>46312</v>
      </c>
      <c r="F152" t="inlineStr">
        <is>
          <t>VÄSTMANLANDS LÄN</t>
        </is>
      </c>
      <c r="G152" t="inlineStr">
        <is>
          <t>ARBOGA</t>
        </is>
      </c>
      <c r="I152" t="n">
        <v>10.2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55188-2022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44886</v>
      </c>
      <c r="E153" s="1" t="n">
        <v>46312</v>
      </c>
      <c r="F153" t="inlineStr">
        <is>
          <t>VÄSTMANLANDS LÄN</t>
        </is>
      </c>
      <c r="G153" t="inlineStr">
        <is>
          <t>ARBOGA</t>
        </is>
      </c>
      <c r="H153" t="inlineStr">
        <is>
          <t>Allmännings- och besparingsskogar</t>
        </is>
      </c>
      <c r="I153" t="n">
        <v>2.4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37785-2026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46277</v>
      </c>
      <c r="E154" s="1" t="n">
        <v>46312</v>
      </c>
      <c r="F154" t="inlineStr">
        <is>
          <t>VÄSTMANLANDS LÄN</t>
        </is>
      </c>
      <c r="G154" t="inlineStr">
        <is>
          <t>ARBOGA</t>
        </is>
      </c>
      <c r="I154" t="n">
        <v>1.4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37761-2026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46277</v>
      </c>
      <c r="E155" s="1" t="n">
        <v>46312</v>
      </c>
      <c r="F155" t="inlineStr">
        <is>
          <t>VÄSTMANLANDS LÄN</t>
        </is>
      </c>
      <c r="G155" t="inlineStr">
        <is>
          <t>ARBOGA</t>
        </is>
      </c>
      <c r="I155" t="n">
        <v>1.6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53653-2023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45230</v>
      </c>
      <c r="E156" s="1" t="n">
        <v>46312</v>
      </c>
      <c r="F156" t="inlineStr">
        <is>
          <t>VÄSTMANLANDS LÄN</t>
        </is>
      </c>
      <c r="G156" t="inlineStr">
        <is>
          <t>ARBOGA</t>
        </is>
      </c>
      <c r="I156" t="n">
        <v>4.5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11744-2022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44634</v>
      </c>
      <c r="E157" s="1" t="n">
        <v>46312</v>
      </c>
      <c r="F157" t="inlineStr">
        <is>
          <t>VÄSTMANLANDS LÄN</t>
        </is>
      </c>
      <c r="G157" t="inlineStr">
        <is>
          <t>ARBOGA</t>
        </is>
      </c>
      <c r="I157" t="n">
        <v>1.2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45492-2023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45194</v>
      </c>
      <c r="E158" s="1" t="n">
        <v>46312</v>
      </c>
      <c r="F158" t="inlineStr">
        <is>
          <t>VÄSTMANLANDS LÄN</t>
        </is>
      </c>
      <c r="G158" t="inlineStr">
        <is>
          <t>ARBOGA</t>
        </is>
      </c>
      <c r="I158" t="n">
        <v>2.8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38647-2026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46283</v>
      </c>
      <c r="E159" s="1" t="n">
        <v>46312</v>
      </c>
      <c r="F159" t="inlineStr">
        <is>
          <t>VÄSTMANLANDS LÄN</t>
        </is>
      </c>
      <c r="G159" t="inlineStr">
        <is>
          <t>ARBOGA</t>
        </is>
      </c>
      <c r="H159" t="inlineStr">
        <is>
          <t>Sveaskog</t>
        </is>
      </c>
      <c r="I159" t="n">
        <v>1.2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35312-2023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45145</v>
      </c>
      <c r="E160" s="1" t="n">
        <v>46312</v>
      </c>
      <c r="F160" t="inlineStr">
        <is>
          <t>VÄSTMANLANDS LÄN</t>
        </is>
      </c>
      <c r="G160" t="inlineStr">
        <is>
          <t>ARBOGA</t>
        </is>
      </c>
      <c r="I160" t="n">
        <v>1.4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59969-2022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44909</v>
      </c>
      <c r="E161" s="1" t="n">
        <v>46312</v>
      </c>
      <c r="F161" t="inlineStr">
        <is>
          <t>VÄSTMANLANDS LÄN</t>
        </is>
      </c>
      <c r="G161" t="inlineStr">
        <is>
          <t>ARBOGA</t>
        </is>
      </c>
      <c r="I161" t="n">
        <v>2.5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59980-2022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44909</v>
      </c>
      <c r="E162" s="1" t="n">
        <v>46312</v>
      </c>
      <c r="F162" t="inlineStr">
        <is>
          <t>VÄSTMANLANDS LÄN</t>
        </is>
      </c>
      <c r="G162" t="inlineStr">
        <is>
          <t>ARBOGA</t>
        </is>
      </c>
      <c r="I162" t="n">
        <v>1.1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43812-2023</t>
        </is>
      </c>
      <c r="B163" t="inlineStr">
        <is>
          <t>avverkningsanmälan</t>
        </is>
      </c>
      <c r="C163" t="inlineStr">
        <is>
          <t>Avverkning för att bevara och utveckla /försöksver</t>
        </is>
      </c>
      <c r="D163" s="1" t="n">
        <v>45187</v>
      </c>
      <c r="E163" s="1" t="n">
        <v>46312</v>
      </c>
      <c r="F163" t="inlineStr">
        <is>
          <t>VÄSTMANLANDS LÄN</t>
        </is>
      </c>
      <c r="G163" t="inlineStr">
        <is>
          <t>ARBOGA</t>
        </is>
      </c>
      <c r="H163" t="inlineStr">
        <is>
          <t>Sveaskog</t>
        </is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6493-2025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45699</v>
      </c>
      <c r="E164" s="1" t="n">
        <v>46312</v>
      </c>
      <c r="F164" t="inlineStr">
        <is>
          <t>VÄSTMANLANDS LÄN</t>
        </is>
      </c>
      <c r="G164" t="inlineStr">
        <is>
          <t>ARBOGA</t>
        </is>
      </c>
      <c r="I164" t="n">
        <v>1.3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11696-2023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44994</v>
      </c>
      <c r="E165" s="1" t="n">
        <v>46312</v>
      </c>
      <c r="F165" t="inlineStr">
        <is>
          <t>VÄSTMANLANDS LÄN</t>
        </is>
      </c>
      <c r="G165" t="inlineStr">
        <is>
          <t>ARBOGA</t>
        </is>
      </c>
      <c r="I165" t="n">
        <v>3.4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39733-2026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46289</v>
      </c>
      <c r="E166" s="1" t="n">
        <v>46312</v>
      </c>
      <c r="F166" t="inlineStr">
        <is>
          <t>VÄSTMANLANDS LÄN</t>
        </is>
      </c>
      <c r="G166" t="inlineStr">
        <is>
          <t>ARBOGA</t>
        </is>
      </c>
      <c r="H166" t="inlineStr">
        <is>
          <t>Sveaskog</t>
        </is>
      </c>
      <c r="I166" t="n">
        <v>2.2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39760-2026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46289</v>
      </c>
      <c r="E167" s="1" t="n">
        <v>46312</v>
      </c>
      <c r="F167" t="inlineStr">
        <is>
          <t>VÄSTMANLANDS LÄN</t>
        </is>
      </c>
      <c r="G167" t="inlineStr">
        <is>
          <t>ARBOGA</t>
        </is>
      </c>
      <c r="H167" t="inlineStr">
        <is>
          <t>Sveaskog</t>
        </is>
      </c>
      <c r="I167" t="n">
        <v>9.800000000000001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19092-2026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46132</v>
      </c>
      <c r="E168" s="1" t="n">
        <v>46312</v>
      </c>
      <c r="F168" t="inlineStr">
        <is>
          <t>VÄSTMANLANDS LÄN</t>
        </is>
      </c>
      <c r="G168" t="inlineStr">
        <is>
          <t>ARBOGA</t>
        </is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39828-2026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46289</v>
      </c>
      <c r="E169" s="1" t="n">
        <v>46312</v>
      </c>
      <c r="F169" t="inlineStr">
        <is>
          <t>VÄSTMANLANDS LÄN</t>
        </is>
      </c>
      <c r="G169" t="inlineStr">
        <is>
          <t>ARBOGA</t>
        </is>
      </c>
      <c r="H169" t="inlineStr">
        <is>
          <t>Sveaskog</t>
        </is>
      </c>
      <c r="I169" t="n">
        <v>1.2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59270-2023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45253</v>
      </c>
      <c r="E170" s="1" t="n">
        <v>46312</v>
      </c>
      <c r="F170" t="inlineStr">
        <is>
          <t>VÄSTMANLANDS LÄN</t>
        </is>
      </c>
      <c r="G170" t="inlineStr">
        <is>
          <t>ARBOGA</t>
        </is>
      </c>
      <c r="I170" t="n">
        <v>4.3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39827-2026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46289</v>
      </c>
      <c r="E171" s="1" t="n">
        <v>46312</v>
      </c>
      <c r="F171" t="inlineStr">
        <is>
          <t>VÄSTMANLANDS LÄN</t>
        </is>
      </c>
      <c r="G171" t="inlineStr">
        <is>
          <t>ARBOGA</t>
        </is>
      </c>
      <c r="H171" t="inlineStr">
        <is>
          <t>Sveaskog</t>
        </is>
      </c>
      <c r="I171" t="n">
        <v>3.9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6666-2024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45341</v>
      </c>
      <c r="E172" s="1" t="n">
        <v>46312</v>
      </c>
      <c r="F172" t="inlineStr">
        <is>
          <t>VÄSTMANLANDS LÄN</t>
        </is>
      </c>
      <c r="G172" t="inlineStr">
        <is>
          <t>ARBOGA</t>
        </is>
      </c>
      <c r="I172" t="n">
        <v>1.5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39819-2026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46289</v>
      </c>
      <c r="E173" s="1" t="n">
        <v>46312</v>
      </c>
      <c r="F173" t="inlineStr">
        <is>
          <t>VÄSTMANLANDS LÄN</t>
        </is>
      </c>
      <c r="G173" t="inlineStr">
        <is>
          <t>ARBOGA</t>
        </is>
      </c>
      <c r="H173" t="inlineStr">
        <is>
          <t>Sveaskog</t>
        </is>
      </c>
      <c r="I173" t="n">
        <v>1.2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39800-2026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46289</v>
      </c>
      <c r="E174" s="1" t="n">
        <v>46312</v>
      </c>
      <c r="F174" t="inlineStr">
        <is>
          <t>VÄSTMANLANDS LÄN</t>
        </is>
      </c>
      <c r="G174" t="inlineStr">
        <is>
          <t>ARBOGA</t>
        </is>
      </c>
      <c r="H174" t="inlineStr">
        <is>
          <t>Sveaskog</t>
        </is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39739-2026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46289</v>
      </c>
      <c r="E175" s="1" t="n">
        <v>46312</v>
      </c>
      <c r="F175" t="inlineStr">
        <is>
          <t>VÄSTMANLANDS LÄN</t>
        </is>
      </c>
      <c r="G175" t="inlineStr">
        <is>
          <t>ARBOGA</t>
        </is>
      </c>
      <c r="H175" t="inlineStr">
        <is>
          <t>Sveaskog</t>
        </is>
      </c>
      <c r="I175" t="n">
        <v>2.5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39770-2026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46289</v>
      </c>
      <c r="E176" s="1" t="n">
        <v>46312</v>
      </c>
      <c r="F176" t="inlineStr">
        <is>
          <t>VÄSTMANLANDS LÄN</t>
        </is>
      </c>
      <c r="G176" t="inlineStr">
        <is>
          <t>ARBOGA</t>
        </is>
      </c>
      <c r="H176" t="inlineStr">
        <is>
          <t>Sveaskog</t>
        </is>
      </c>
      <c r="I176" t="n">
        <v>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69168-2021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44530</v>
      </c>
      <c r="E177" s="1" t="n">
        <v>46312</v>
      </c>
      <c r="F177" t="inlineStr">
        <is>
          <t>VÄSTMANLANDS LÄN</t>
        </is>
      </c>
      <c r="G177" t="inlineStr">
        <is>
          <t>ARBOGA</t>
        </is>
      </c>
      <c r="I177" t="n">
        <v>4.2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22697-2024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45448</v>
      </c>
      <c r="E178" s="1" t="n">
        <v>46312</v>
      </c>
      <c r="F178" t="inlineStr">
        <is>
          <t>VÄSTMANLANDS LÄN</t>
        </is>
      </c>
      <c r="G178" t="inlineStr">
        <is>
          <t>ARBOGA</t>
        </is>
      </c>
      <c r="I178" t="n">
        <v>2.6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33897-2026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46251</v>
      </c>
      <c r="E179" s="1" t="n">
        <v>46312</v>
      </c>
      <c r="F179" t="inlineStr">
        <is>
          <t>VÄSTMANLANDS LÄN</t>
        </is>
      </c>
      <c r="G179" t="inlineStr">
        <is>
          <t>ARBOGA</t>
        </is>
      </c>
      <c r="H179" t="inlineStr">
        <is>
          <t>Sveaskog</t>
        </is>
      </c>
      <c r="I179" t="n">
        <v>6.7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15569-2025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45747</v>
      </c>
      <c r="E180" s="1" t="n">
        <v>46312</v>
      </c>
      <c r="F180" t="inlineStr">
        <is>
          <t>VÄSTMANLANDS LÄN</t>
        </is>
      </c>
      <c r="G180" t="inlineStr">
        <is>
          <t>ARBOGA</t>
        </is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58241-2024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45632</v>
      </c>
      <c r="E181" s="1" t="n">
        <v>46312</v>
      </c>
      <c r="F181" t="inlineStr">
        <is>
          <t>VÄSTMANLANDS LÄN</t>
        </is>
      </c>
      <c r="G181" t="inlineStr">
        <is>
          <t>ARBOGA</t>
        </is>
      </c>
      <c r="I181" t="n">
        <v>3.8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54054-2024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45615</v>
      </c>
      <c r="E182" s="1" t="n">
        <v>46312</v>
      </c>
      <c r="F182" t="inlineStr">
        <is>
          <t>VÄSTMANLANDS LÄN</t>
        </is>
      </c>
      <c r="G182" t="inlineStr">
        <is>
          <t>ARBOGA</t>
        </is>
      </c>
      <c r="I182" t="n">
        <v>3.2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14413-2023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45012</v>
      </c>
      <c r="E183" s="1" t="n">
        <v>46312</v>
      </c>
      <c r="F183" t="inlineStr">
        <is>
          <t>VÄSTMANLANDS LÄN</t>
        </is>
      </c>
      <c r="G183" t="inlineStr">
        <is>
          <t>ARBOGA</t>
        </is>
      </c>
      <c r="I183" t="n">
        <v>0.9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57256-2024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45629</v>
      </c>
      <c r="E184" s="1" t="n">
        <v>46312</v>
      </c>
      <c r="F184" t="inlineStr">
        <is>
          <t>VÄSTMANLANDS LÄN</t>
        </is>
      </c>
      <c r="G184" t="inlineStr">
        <is>
          <t>ARBOGA</t>
        </is>
      </c>
      <c r="I184" t="n">
        <v>1.8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43602-2023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45184</v>
      </c>
      <c r="E185" s="1" t="n">
        <v>46312</v>
      </c>
      <c r="F185" t="inlineStr">
        <is>
          <t>VÄSTMANLANDS LÄN</t>
        </is>
      </c>
      <c r="G185" t="inlineStr">
        <is>
          <t>ARBOGA</t>
        </is>
      </c>
      <c r="I185" t="n">
        <v>3.2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56977-2024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45628</v>
      </c>
      <c r="E186" s="1" t="n">
        <v>46312</v>
      </c>
      <c r="F186" t="inlineStr">
        <is>
          <t>VÄSTMANLANDS LÄN</t>
        </is>
      </c>
      <c r="G186" t="inlineStr">
        <is>
          <t>ARBOGA</t>
        </is>
      </c>
      <c r="I186" t="n">
        <v>6.2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6680-2023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44966</v>
      </c>
      <c r="E187" s="1" t="n">
        <v>46312</v>
      </c>
      <c r="F187" t="inlineStr">
        <is>
          <t>VÄSTMANLANDS LÄN</t>
        </is>
      </c>
      <c r="G187" t="inlineStr">
        <is>
          <t>ARBOGA</t>
        </is>
      </c>
      <c r="I187" t="n">
        <v>2.3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494-2025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45660</v>
      </c>
      <c r="E188" s="1" t="n">
        <v>46312</v>
      </c>
      <c r="F188" t="inlineStr">
        <is>
          <t>VÄSTMANLANDS LÄN</t>
        </is>
      </c>
      <c r="G188" t="inlineStr">
        <is>
          <t>ARBOGA</t>
        </is>
      </c>
      <c r="I188" t="n">
        <v>1.7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65255-2023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45290</v>
      </c>
      <c r="E189" s="1" t="n">
        <v>46312</v>
      </c>
      <c r="F189" t="inlineStr">
        <is>
          <t>VÄSTMANLANDS LÄN</t>
        </is>
      </c>
      <c r="G189" t="inlineStr">
        <is>
          <t>ARBOGA</t>
        </is>
      </c>
      <c r="I189" t="n">
        <v>4.8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47648-2024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45588</v>
      </c>
      <c r="E190" s="1" t="n">
        <v>46312</v>
      </c>
      <c r="F190" t="inlineStr">
        <is>
          <t>VÄSTMANLANDS LÄN</t>
        </is>
      </c>
      <c r="G190" t="inlineStr">
        <is>
          <t>ARBOGA</t>
        </is>
      </c>
      <c r="I190" t="n">
        <v>1.6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38788-2024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45547</v>
      </c>
      <c r="E191" s="1" t="n">
        <v>46312</v>
      </c>
      <c r="F191" t="inlineStr">
        <is>
          <t>VÄSTMANLANDS LÄN</t>
        </is>
      </c>
      <c r="G191" t="inlineStr">
        <is>
          <t>ARBOGA</t>
        </is>
      </c>
      <c r="H191" t="inlineStr">
        <is>
          <t>Allmännings- och besparingsskogar</t>
        </is>
      </c>
      <c r="I191" t="n">
        <v>1.6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35810-2026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46265</v>
      </c>
      <c r="E192" s="1" t="n">
        <v>46312</v>
      </c>
      <c r="F192" t="inlineStr">
        <is>
          <t>VÄSTMANLANDS LÄN</t>
        </is>
      </c>
      <c r="G192" t="inlineStr">
        <is>
          <t>ARBOGA</t>
        </is>
      </c>
      <c r="I192" t="n">
        <v>1.3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55187-2022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44886</v>
      </c>
      <c r="E193" s="1" t="n">
        <v>46312</v>
      </c>
      <c r="F193" t="inlineStr">
        <is>
          <t>VÄSTMANLANDS LÄN</t>
        </is>
      </c>
      <c r="G193" t="inlineStr">
        <is>
          <t>ARBOGA</t>
        </is>
      </c>
      <c r="H193" t="inlineStr">
        <is>
          <t>Allmännings- och besparingsskogar</t>
        </is>
      </c>
      <c r="I193" t="n">
        <v>19.4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>
      <c r="A194" t="inlineStr">
        <is>
          <t>A 38302-2025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45883</v>
      </c>
      <c r="E194" s="1" t="n">
        <v>46312</v>
      </c>
      <c r="F194" t="inlineStr">
        <is>
          <t>VÄSTMANLANDS LÄN</t>
        </is>
      </c>
      <c r="G194" t="inlineStr">
        <is>
          <t>ARBOGA</t>
        </is>
      </c>
      <c r="I194" t="n">
        <v>0.4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2026-10-17T02:00:55Z</dcterms:created>
  <dcterms:modified xmlns:dcterms="http://purl.org/dc/terms/" xmlns:xsi="http://www.w3.org/2001/XMLSchema-instance" xsi:type="dcterms:W3CDTF">2026-10-17T02:00:55Z</dcterms:modified>
</cp:coreProperties>
</file>