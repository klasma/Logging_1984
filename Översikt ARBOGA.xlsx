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45630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45630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45630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45630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45630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45630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45630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45630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45630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45630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45630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43802-2023</t>
        </is>
      </c>
      <c r="B13" s="1" t="n">
        <v>45187</v>
      </c>
      <c r="C13" s="1" t="n">
        <v>45630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HYPERLINK("https://klasma.github.io/Logging_1984/artfynd/A 43802-2023 artfynd.xlsx", "A 43802-2023")</f>
        <v/>
      </c>
      <c r="T13">
        <f>HYPERLINK("https://klasma.github.io/Logging_1984/kartor/A 43802-2023 karta.png", "A 43802-2023")</f>
        <v/>
      </c>
      <c r="V13">
        <f>HYPERLINK("https://klasma.github.io/Logging_1984/klagomål/A 43802-2023 FSC-klagomål.docx", "A 43802-2023")</f>
        <v/>
      </c>
      <c r="W13">
        <f>HYPERLINK("https://klasma.github.io/Logging_1984/klagomålsmail/A 43802-2023 FSC-klagomål mail.docx", "A 43802-2023")</f>
        <v/>
      </c>
      <c r="X13">
        <f>HYPERLINK("https://klasma.github.io/Logging_1984/tillsyn/A 43802-2023 tillsynsbegäran.docx", "A 43802-2023")</f>
        <v/>
      </c>
      <c r="Y13">
        <f>HYPERLINK("https://klasma.github.io/Logging_1984/tillsynsmail/A 43802-2023 tillsynsbegäran mail.docx", "A 43802-2023")</f>
        <v/>
      </c>
    </row>
    <row r="14" ht="15" customHeight="1">
      <c r="A14" t="inlineStr">
        <is>
          <t>A 18495-2024</t>
        </is>
      </c>
      <c r="B14" s="1" t="n">
        <v>45425</v>
      </c>
      <c r="C14" s="1" t="n">
        <v>45630</v>
      </c>
      <c r="D14" t="inlineStr">
        <is>
          <t>VÄSTMANLANDS LÄN</t>
        </is>
      </c>
      <c r="E14" t="inlineStr">
        <is>
          <t>ARBOGA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HYPERLINK("https://klasma.github.io/Logging_1984/artfynd/A 18495-2024 artfynd.xlsx", "A 18495-2024")</f>
        <v/>
      </c>
      <c r="T14">
        <f>HYPERLINK("https://klasma.github.io/Logging_1984/kartor/A 18495-2024 karta.png", "A 18495-2024")</f>
        <v/>
      </c>
      <c r="V14">
        <f>HYPERLINK("https://klasma.github.io/Logging_1984/klagomål/A 18495-2024 FSC-klagomål.docx", "A 18495-2024")</f>
        <v/>
      </c>
      <c r="W14">
        <f>HYPERLINK("https://klasma.github.io/Logging_1984/klagomålsmail/A 18495-2024 FSC-klagomål mail.docx", "A 18495-2024")</f>
        <v/>
      </c>
      <c r="X14">
        <f>HYPERLINK("https://klasma.github.io/Logging_1984/tillsyn/A 18495-2024 tillsynsbegäran.docx", "A 18495-2024")</f>
        <v/>
      </c>
      <c r="Y14">
        <f>HYPERLINK("https://klasma.github.io/Logging_1984/tillsynsmail/A 18495-2024 tillsynsbegäran mail.docx", "A 18495-2024")</f>
        <v/>
      </c>
    </row>
    <row r="15" ht="15" customHeight="1">
      <c r="A15" t="inlineStr">
        <is>
          <t>A 20064-2024</t>
        </is>
      </c>
      <c r="B15" s="1" t="n">
        <v>45434</v>
      </c>
      <c r="C15" s="1" t="n">
        <v>45630</v>
      </c>
      <c r="D15" t="inlineStr">
        <is>
          <t>VÄSTMANLANDS LÄN</t>
        </is>
      </c>
      <c r="E15" t="inlineStr">
        <is>
          <t>ARBOGA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HYPERLINK("https://klasma.github.io/Logging_1984/artfynd/A 20064-2024 artfynd.xlsx", "A 20064-2024")</f>
        <v/>
      </c>
      <c r="T15">
        <f>HYPERLINK("https://klasma.github.io/Logging_1984/kartor/A 20064-2024 karta.png", "A 20064-2024")</f>
        <v/>
      </c>
      <c r="V15">
        <f>HYPERLINK("https://klasma.github.io/Logging_1984/klagomål/A 20064-2024 FSC-klagomål.docx", "A 20064-2024")</f>
        <v/>
      </c>
      <c r="W15">
        <f>HYPERLINK("https://klasma.github.io/Logging_1984/klagomålsmail/A 20064-2024 FSC-klagomål mail.docx", "A 20064-2024")</f>
        <v/>
      </c>
      <c r="X15">
        <f>HYPERLINK("https://klasma.github.io/Logging_1984/tillsyn/A 20064-2024 tillsynsbegäran.docx", "A 20064-2024")</f>
        <v/>
      </c>
      <c r="Y15">
        <f>HYPERLINK("https://klasma.github.io/Logging_1984/tillsynsmail/A 20064-2024 tillsynsbegäran mail.docx", "A 20064-2024")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45630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45630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45630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45630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45630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45630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45630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45630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45630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45630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45630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45630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45630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45630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45630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45630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45630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45630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45630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45630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45630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45630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45630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45630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45630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45630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45630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45630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45630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45630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45630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45630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45630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45630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45630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45630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45630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45630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45630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45630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45630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45630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45630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45630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45630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45630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45630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45630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45630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45630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45630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45630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45630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45630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45630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45630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45630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45630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45630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45630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45630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45630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45630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45630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45630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45630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45630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45630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45630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45630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45630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45630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45630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45630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45630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45630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45630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45630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45630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45630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45630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45630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45630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45630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45630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45630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45630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45630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45630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45630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45630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45630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45630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45630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45630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45630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45630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45630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45630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45630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45630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45630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45630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45630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45630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45630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45630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45630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45630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45630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45630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45630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45630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45630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45630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45630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45630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45630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45630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45630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45630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45630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45630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45630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45630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45630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45630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45630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45630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45630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45630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45630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45630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45630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45630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45630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45630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45630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45630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45630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45630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45630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45630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45630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45630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45630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45630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45630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45630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45630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45630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45630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45630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45630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45630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45630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45630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45630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45630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45630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45630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45630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45630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45630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45630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45630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45630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45630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45630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45630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45630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45630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45630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45630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45630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45630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45630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45630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45630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45630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45630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45630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45630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45630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45630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45630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45630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45630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45630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45630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45630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45630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45630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45630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45630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45630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45630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45630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45630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45630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45630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45630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45630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45630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45630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45630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45630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45630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45630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45630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45630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45630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45630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45630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45630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45630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45630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45630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45630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45630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45630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45630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45630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45630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45630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45630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45630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45630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45630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45630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45630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45630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45630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45630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45630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45630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45630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45630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45630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45630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45630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45630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45630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45630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45630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45630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45630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45630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45630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45630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45630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45630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45630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45630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45630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45630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45630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45630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45630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45630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45630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45630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45630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45630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45630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45630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45630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45630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45630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45630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45630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45630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45630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45630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45630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45630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45630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45630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45630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45630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45630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45630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45630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45630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45630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45630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45630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45630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45630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45630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45630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45630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45630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45630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45630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45630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45630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45630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45630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45630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45630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45630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45630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45630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45630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45630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45630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45630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45630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45630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38785-2024</t>
        </is>
      </c>
      <c r="B326" s="1" t="n">
        <v>45547</v>
      </c>
      <c r="C326" s="1" t="n">
        <v>45630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38788-2024</t>
        </is>
      </c>
      <c r="B327" s="1" t="n">
        <v>45547</v>
      </c>
      <c r="C327" s="1" t="n">
        <v>45630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38775-2024</t>
        </is>
      </c>
      <c r="B328" s="1" t="n">
        <v>45547</v>
      </c>
      <c r="C328" s="1" t="n">
        <v>45630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45630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41490-2024</t>
        </is>
      </c>
      <c r="B330" s="1" t="n">
        <v>45560</v>
      </c>
      <c r="C330" s="1" t="n">
        <v>45630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47648-2024</t>
        </is>
      </c>
      <c r="B331" s="1" t="n">
        <v>45588</v>
      </c>
      <c r="C331" s="1" t="n">
        <v>45630</v>
      </c>
      <c r="D331" t="inlineStr">
        <is>
          <t>VÄSTMANLANDS LÄN</t>
        </is>
      </c>
      <c r="E331" t="inlineStr">
        <is>
          <t>ARBOGA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48664-2024</t>
        </is>
      </c>
      <c r="B332" s="1" t="n">
        <v>45593</v>
      </c>
      <c r="C332" s="1" t="n">
        <v>45630</v>
      </c>
      <c r="D332" t="inlineStr">
        <is>
          <t>VÄSTMANLANDS LÄN</t>
        </is>
      </c>
      <c r="E332" t="inlineStr">
        <is>
          <t>ARBOGA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48659-2024</t>
        </is>
      </c>
      <c r="B333" s="1" t="n">
        <v>45593</v>
      </c>
      <c r="C333" s="1" t="n">
        <v>45630</v>
      </c>
      <c r="D333" t="inlineStr">
        <is>
          <t>VÄSTMANLANDS LÄN</t>
        </is>
      </c>
      <c r="E333" t="inlineStr">
        <is>
          <t>ARBOGA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50984-2024</t>
        </is>
      </c>
      <c r="B334" s="1" t="n">
        <v>45603</v>
      </c>
      <c r="C334" s="1" t="n">
        <v>45630</v>
      </c>
      <c r="D334" t="inlineStr">
        <is>
          <t>VÄSTMANLANDS LÄN</t>
        </is>
      </c>
      <c r="E334" t="inlineStr">
        <is>
          <t>ARBOGA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51947-2024</t>
        </is>
      </c>
      <c r="B335" s="1" t="n">
        <v>45607</v>
      </c>
      <c r="C335" s="1" t="n">
        <v>45630</v>
      </c>
      <c r="D335" t="inlineStr">
        <is>
          <t>VÄSTMANLANDS LÄN</t>
        </is>
      </c>
      <c r="E335" t="inlineStr">
        <is>
          <t>ARBOGA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51951-2024</t>
        </is>
      </c>
      <c r="B336" s="1" t="n">
        <v>45607</v>
      </c>
      <c r="C336" s="1" t="n">
        <v>45630</v>
      </c>
      <c r="D336" t="inlineStr">
        <is>
          <t>VÄSTMANLANDS LÄN</t>
        </is>
      </c>
      <c r="E336" t="inlineStr">
        <is>
          <t>ARBOGA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51954-2024</t>
        </is>
      </c>
      <c r="B337" s="1" t="n">
        <v>45607</v>
      </c>
      <c r="C337" s="1" t="n">
        <v>45630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51937-2024</t>
        </is>
      </c>
      <c r="B338" s="1" t="n">
        <v>45607</v>
      </c>
      <c r="C338" s="1" t="n">
        <v>45630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52433-2024</t>
        </is>
      </c>
      <c r="B339" s="1" t="n">
        <v>45608</v>
      </c>
      <c r="C339" s="1" t="n">
        <v>45630</v>
      </c>
      <c r="D339" t="inlineStr">
        <is>
          <t>VÄSTMANLANDS LÄN</t>
        </is>
      </c>
      <c r="E339" t="inlineStr">
        <is>
          <t>ARBOGA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53283-2024</t>
        </is>
      </c>
      <c r="B340" s="1" t="n">
        <v>45614</v>
      </c>
      <c r="C340" s="1" t="n">
        <v>45630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53284-2024</t>
        </is>
      </c>
      <c r="B341" s="1" t="n">
        <v>45614</v>
      </c>
      <c r="C341" s="1" t="n">
        <v>45630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53280-2024</t>
        </is>
      </c>
      <c r="B342" s="1" t="n">
        <v>45614</v>
      </c>
      <c r="C342" s="1" t="n">
        <v>45630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53290-2024</t>
        </is>
      </c>
      <c r="B343" s="1" t="n">
        <v>45614</v>
      </c>
      <c r="C343" s="1" t="n">
        <v>45630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53903-2024</t>
        </is>
      </c>
      <c r="B344" s="1" t="n">
        <v>45615</v>
      </c>
      <c r="C344" s="1" t="n">
        <v>45630</v>
      </c>
      <c r="D344" t="inlineStr">
        <is>
          <t>VÄSTMANLANDS LÄN</t>
        </is>
      </c>
      <c r="E344" t="inlineStr">
        <is>
          <t>ARBOGA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54054-2024</t>
        </is>
      </c>
      <c r="B345" s="1" t="n">
        <v>45615</v>
      </c>
      <c r="C345" s="1" t="n">
        <v>45630</v>
      </c>
      <c r="D345" t="inlineStr">
        <is>
          <t>VÄSTMANLANDS LÄN</t>
        </is>
      </c>
      <c r="E345" t="inlineStr">
        <is>
          <t>ARBOGA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54998-2024</t>
        </is>
      </c>
      <c r="B346" s="1" t="n">
        <v>45621</v>
      </c>
      <c r="C346" s="1" t="n">
        <v>45630</v>
      </c>
      <c r="D346" t="inlineStr">
        <is>
          <t>VÄSTMANLANDS LÄN</t>
        </is>
      </c>
      <c r="E346" t="inlineStr">
        <is>
          <t>ARBOGA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54999-2024</t>
        </is>
      </c>
      <c r="B347" s="1" t="n">
        <v>45621</v>
      </c>
      <c r="C347" s="1" t="n">
        <v>45630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56977-2024</t>
        </is>
      </c>
      <c r="B348" s="1" t="n">
        <v>45628</v>
      </c>
      <c r="C348" s="1" t="n">
        <v>45630</v>
      </c>
      <c r="D348" t="inlineStr">
        <is>
          <t>VÄSTMANLANDS LÄN</t>
        </is>
      </c>
      <c r="E348" t="inlineStr">
        <is>
          <t>ARBOGA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56982-2024</t>
        </is>
      </c>
      <c r="B349" s="1" t="n">
        <v>45628</v>
      </c>
      <c r="C349" s="1" t="n">
        <v>45630</v>
      </c>
      <c r="D349" t="inlineStr">
        <is>
          <t>VÄSTMANLANDS LÄN</t>
        </is>
      </c>
      <c r="E349" t="inlineStr">
        <is>
          <t>ARBOGA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57039-2024</t>
        </is>
      </c>
      <c r="B350" s="1" t="n">
        <v>45629</v>
      </c>
      <c r="C350" s="1" t="n">
        <v>45630</v>
      </c>
      <c r="D350" t="inlineStr">
        <is>
          <t>VÄSTMANLANDS LÄN</t>
        </is>
      </c>
      <c r="E350" t="inlineStr">
        <is>
          <t>ARBOGA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57256-2024</t>
        </is>
      </c>
      <c r="B351" s="1" t="n">
        <v>45629</v>
      </c>
      <c r="C351" s="1" t="n">
        <v>45630</v>
      </c>
      <c r="D351" t="inlineStr">
        <is>
          <t>VÄSTMANLANDS LÄN</t>
        </is>
      </c>
      <c r="E351" t="inlineStr">
        <is>
          <t>ARBOGA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45630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57262-2024</t>
        </is>
      </c>
      <c r="B353" s="1" t="n">
        <v>45629</v>
      </c>
      <c r="C353" s="1" t="n">
        <v>45630</v>
      </c>
      <c r="D353" t="inlineStr">
        <is>
          <t>VÄSTMANLANDS LÄN</t>
        </is>
      </c>
      <c r="E353" t="inlineStr">
        <is>
          <t>ARBOGA</t>
        </is>
      </c>
      <c r="G353" t="n">
        <v>8.9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2024-12-04T15:14:27Z</dcterms:created>
  <dcterms:modified xmlns:dcterms="http://purl.org/dc/terms/" xmlns:xsi="http://www.w3.org/2001/XMLSchema-instance" xsi:type="dcterms:W3CDTF">2024-12-04T15:14:28Z</dcterms:modified>
</cp:coreProperties>
</file>