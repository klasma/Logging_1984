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45877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36185-2024</t>
        </is>
      </c>
      <c r="B3" s="1" t="n">
        <v>45534</v>
      </c>
      <c r="C3" s="1" t="n">
        <v>45877</v>
      </c>
      <c r="D3" t="inlineStr">
        <is>
          <t>VÄSTMANLANDS LÄN</t>
        </is>
      </c>
      <c r="E3" t="inlineStr">
        <is>
          <t>ARBOGA</t>
        </is>
      </c>
      <c r="F3" t="inlineStr">
        <is>
          <t>Sveaskog</t>
        </is>
      </c>
      <c r="G3" t="n">
        <v>9.199999999999999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Vågbandad barkbock
Pudrad kärrtrollslända
Fläcknycklar</t>
        </is>
      </c>
      <c r="S3">
        <f>HYPERLINK("https://klasma.github.io/Logging_1984/artfynd/A 36185-2024 artfynd.xlsx", "A 36185-2024")</f>
        <v/>
      </c>
      <c r="T3">
        <f>HYPERLINK("https://klasma.github.io/Logging_1984/kartor/A 36185-2024 karta.png", "A 36185-2024")</f>
        <v/>
      </c>
      <c r="U3">
        <f>HYPERLINK("https://klasma.github.io/Logging_1984/knärot/A 36185-2024 karta knärot.png", "A 36185-2024")</f>
        <v/>
      </c>
      <c r="V3">
        <f>HYPERLINK("https://klasma.github.io/Logging_1984/klagomål/A 36185-2024 FSC-klagomål.docx", "A 36185-2024")</f>
        <v/>
      </c>
      <c r="W3">
        <f>HYPERLINK("https://klasma.github.io/Logging_1984/klagomålsmail/A 36185-2024 FSC-klagomål mail.docx", "A 36185-2024")</f>
        <v/>
      </c>
      <c r="X3">
        <f>HYPERLINK("https://klasma.github.io/Logging_1984/tillsyn/A 36185-2024 tillsynsbegäran.docx", "A 36185-2024")</f>
        <v/>
      </c>
      <c r="Y3">
        <f>HYPERLINK("https://klasma.github.io/Logging_1984/tillsynsmail/A 36185-2024 tillsynsbegäran mail.docx", "A 36185-2024")</f>
        <v/>
      </c>
    </row>
    <row r="4" ht="15" customHeight="1">
      <c r="A4" t="inlineStr">
        <is>
          <t>A 40231-2023</t>
        </is>
      </c>
      <c r="B4" s="1" t="n">
        <v>45169</v>
      </c>
      <c r="C4" s="1" t="n">
        <v>45877</v>
      </c>
      <c r="D4" t="inlineStr">
        <is>
          <t>VÄSTMANLANDS LÄN</t>
        </is>
      </c>
      <c r="E4" t="inlineStr">
        <is>
          <t>ARBOGA</t>
        </is>
      </c>
      <c r="G4" t="n">
        <v>5.2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Motaggsvamp
Blåsippa</t>
        </is>
      </c>
      <c r="S4">
        <f>HYPERLINK("https://klasma.github.io/Logging_1984/artfynd/A 40231-2023 artfynd.xlsx", "A 40231-2023")</f>
        <v/>
      </c>
      <c r="T4">
        <f>HYPERLINK("https://klasma.github.io/Logging_1984/kartor/A 40231-2023 karta.png", "A 40231-2023")</f>
        <v/>
      </c>
      <c r="U4">
        <f>HYPERLINK("https://klasma.github.io/Logging_1984/knärot/A 40231-2023 karta knärot.png", "A 40231-2023")</f>
        <v/>
      </c>
      <c r="V4">
        <f>HYPERLINK("https://klasma.github.io/Logging_1984/klagomål/A 40231-2023 FSC-klagomål.docx", "A 40231-2023")</f>
        <v/>
      </c>
      <c r="W4">
        <f>HYPERLINK("https://klasma.github.io/Logging_1984/klagomålsmail/A 40231-2023 FSC-klagomål mail.docx", "A 40231-2023")</f>
        <v/>
      </c>
      <c r="X4">
        <f>HYPERLINK("https://klasma.github.io/Logging_1984/tillsyn/A 40231-2023 tillsynsbegäran.docx", "A 40231-2023")</f>
        <v/>
      </c>
      <c r="Y4">
        <f>HYPERLINK("https://klasma.github.io/Logging_1984/tillsynsmail/A 40231-2023 tillsynsbegäran mail.docx", "A 40231-2023")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45877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45877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45877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45877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45877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45877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45877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45877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45877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45877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45877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45877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45877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45877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45877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45877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45877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45877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45877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45877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45877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45877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45877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45877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45877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45877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45877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45877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45877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45877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45877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45877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45877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45877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45877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45877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45877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45877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45877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45877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45877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45877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45877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45877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45877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45877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45877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45877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45877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45877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45877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45877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45877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45877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45877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45877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45877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45877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45877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45877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45877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45877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45877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45877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45877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45877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45877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45877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45877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45877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45877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45877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45877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45877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45877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45877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45877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45877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45877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45877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45877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45877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45877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45877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45877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45877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45877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45877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45877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45877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45877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45877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45877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45877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45877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45877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45877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45877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45877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45877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45877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45877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45877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45877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45877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45877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45877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45877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45877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45877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45877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45877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45877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45877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45877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45877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45877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45877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45877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45877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45877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45877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45877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45877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45877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45877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45877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45877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45877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45877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45877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45877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45877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45877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45877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45877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45877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45877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45877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45877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45877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45877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45877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45877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45877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45877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45877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45877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45877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45877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45877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45877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45877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45877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45877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45877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45877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45877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45877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45877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45877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45877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45877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45877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45877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45877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45877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45877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45877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45877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45877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45877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45877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45877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45877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45877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45877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45877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45877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45877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45877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45877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45877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45877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45877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45877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45877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45877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45877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45877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45877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45877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45877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45877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45877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45877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45877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45877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45877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45877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45877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45877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45877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45877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45877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45877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45877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45877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45877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45877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45877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45877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45877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45877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45877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45877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45877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45877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45877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45877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45877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45877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45877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45877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45877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45877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45877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45877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45877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45877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45877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45877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45877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45877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45877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45877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45877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45877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45877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45877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45877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45877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45877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45877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45877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45877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45877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45877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45877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45877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45877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45877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45877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45877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45877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45877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45877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45877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45877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45877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45877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45877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45877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45877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45877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45877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45877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45877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45877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45877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45877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45877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45877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45877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45877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45877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45877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45877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45877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45877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45877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45877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45877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45877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45877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45877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45877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45877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45877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45877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45877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45877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45877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45877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45877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45877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45877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45877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45877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45877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45877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45877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45877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45877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45877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45877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45877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45877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45877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45877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45877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45877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45877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45877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45877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45877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45877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45877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45877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45877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45877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45877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45877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45877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45877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45877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45877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45877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45877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45877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45877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45877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45877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45877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45877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45877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45877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45877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45877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45877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45877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45877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45877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45877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45877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45877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45877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45877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45877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45877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45877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45877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45877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45877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45877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45877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45877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45877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45877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45877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45877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45877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45877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45877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45877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45877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45877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45877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45877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45877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45877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45877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45877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45877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45877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45877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45877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45877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45877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45877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45877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45877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45877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45877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45877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45877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45877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45877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45877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45877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45877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45877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45877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45877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45877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45877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45877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45877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45877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28069-2025</t>
        </is>
      </c>
      <c r="B404" s="1" t="n">
        <v>45817</v>
      </c>
      <c r="C404" s="1" t="n">
        <v>45877</v>
      </c>
      <c r="D404" t="inlineStr">
        <is>
          <t>VÄSTMANLANDS LÄN</t>
        </is>
      </c>
      <c r="E404" t="inlineStr">
        <is>
          <t>ARBOGA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28067-2025</t>
        </is>
      </c>
      <c r="B405" s="1" t="n">
        <v>45817</v>
      </c>
      <c r="C405" s="1" t="n">
        <v>45877</v>
      </c>
      <c r="D405" t="inlineStr">
        <is>
          <t>VÄSTMANLANDS LÄN</t>
        </is>
      </c>
      <c r="E405" t="inlineStr">
        <is>
          <t>ARBOGA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32440-2025</t>
        </is>
      </c>
      <c r="B406" s="1" t="n">
        <v>45838</v>
      </c>
      <c r="C406" s="1" t="n">
        <v>45877</v>
      </c>
      <c r="D406" t="inlineStr">
        <is>
          <t>VÄSTMANLANDS LÄN</t>
        </is>
      </c>
      <c r="E406" t="inlineStr">
        <is>
          <t>ARBOGA</t>
        </is>
      </c>
      <c r="F406" t="inlineStr">
        <is>
          <t>Allmännings- och besparingsskogar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35201-2025</t>
        </is>
      </c>
      <c r="B407" s="1" t="n">
        <v>45853</v>
      </c>
      <c r="C407" s="1" t="n">
        <v>45877</v>
      </c>
      <c r="D407" t="inlineStr">
        <is>
          <t>VÄSTMANLANDS LÄN</t>
        </is>
      </c>
      <c r="E407" t="inlineStr">
        <is>
          <t>ARBOGA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2025-08-09T01:06:35Z</dcterms:created>
  <dcterms:modified xmlns:dcterms="http://purl.org/dc/terms/" xmlns:xsi="http://www.w3.org/2001/XMLSchema-instance" xsi:type="dcterms:W3CDTF">2025-08-09T01:06:35Z</dcterms:modified>
</cp:coreProperties>
</file>