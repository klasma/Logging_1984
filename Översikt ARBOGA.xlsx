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45569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45569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67854-2019</t>
        </is>
      </c>
      <c r="B4" s="1" t="n">
        <v>43816</v>
      </c>
      <c r="C4" s="1" t="n">
        <v>45569</v>
      </c>
      <c r="D4" t="inlineStr">
        <is>
          <t>VÄSTMANLANDS LÄN</t>
        </is>
      </c>
      <c r="E4" t="inlineStr">
        <is>
          <t>ARBOGA</t>
        </is>
      </c>
      <c r="G4" t="n">
        <v>10.9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Hässleklocka
Bred kärrtrollslända</t>
        </is>
      </c>
      <c r="S4">
        <f>HYPERLINK("https://klasma.github.io/Logging_1984/artfynd/A 67854-2019 artfynd.xlsx", "A 67854-2019")</f>
        <v/>
      </c>
      <c r="T4">
        <f>HYPERLINK("https://klasma.github.io/Logging_1984/kartor/A 67854-2019 karta.png", "A 67854-2019")</f>
        <v/>
      </c>
      <c r="V4">
        <f>HYPERLINK("https://klasma.github.io/Logging_1984/klagomål/A 67854-2019 FSC-klagomål.docx", "A 67854-2019")</f>
        <v/>
      </c>
      <c r="W4">
        <f>HYPERLINK("https://klasma.github.io/Logging_1984/klagomålsmail/A 67854-2019 FSC-klagomål mail.docx", "A 67854-2019")</f>
        <v/>
      </c>
      <c r="X4">
        <f>HYPERLINK("https://klasma.github.io/Logging_1984/tillsyn/A 67854-2019 tillsynsbegäran.docx", "A 67854-2019")</f>
        <v/>
      </c>
      <c r="Y4">
        <f>HYPERLINK("https://klasma.github.io/Logging_1984/tillsynsmail/A 67854-2019 tillsynsbegäran mail.docx", "A 67854-2019")</f>
        <v/>
      </c>
    </row>
    <row r="5" ht="15" customHeight="1">
      <c r="A5" t="inlineStr">
        <is>
          <t>A 40331-2023</t>
        </is>
      </c>
      <c r="B5" s="1" t="n">
        <v>45169</v>
      </c>
      <c r="C5" s="1" t="n">
        <v>45569</v>
      </c>
      <c r="D5" t="inlineStr">
        <is>
          <t>VÄSTMANLANDS LÄN</t>
        </is>
      </c>
      <c r="E5" t="inlineStr">
        <is>
          <t>ARBOGA</t>
        </is>
      </c>
      <c r="G5" t="n">
        <v>3.4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Blåsippa</t>
        </is>
      </c>
      <c r="S5">
        <f>HYPERLINK("https://klasma.github.io/Logging_1984/artfynd/A 40331-2023 artfynd.xlsx", "A 40331-2023")</f>
        <v/>
      </c>
      <c r="T5">
        <f>HYPERLINK("https://klasma.github.io/Logging_1984/kartor/A 40331-2023 karta.png", "A 40331-2023")</f>
        <v/>
      </c>
      <c r="V5">
        <f>HYPERLINK("https://klasma.github.io/Logging_1984/klagomål/A 40331-2023 FSC-klagomål.docx", "A 40331-2023")</f>
        <v/>
      </c>
      <c r="W5">
        <f>HYPERLINK("https://klasma.github.io/Logging_1984/klagomålsmail/A 40331-2023 FSC-klagomål mail.docx", "A 40331-2023")</f>
        <v/>
      </c>
      <c r="X5">
        <f>HYPERLINK("https://klasma.github.io/Logging_1984/tillsyn/A 40331-2023 tillsynsbegäran.docx", "A 40331-2023")</f>
        <v/>
      </c>
      <c r="Y5">
        <f>HYPERLINK("https://klasma.github.io/Logging_1984/tillsynsmail/A 40331-2023 tillsynsbegäran mail.docx", "A 40331-2023")</f>
        <v/>
      </c>
    </row>
    <row r="6" ht="15" customHeight="1">
      <c r="A6" t="inlineStr">
        <is>
          <t>A 20797-2019</t>
        </is>
      </c>
      <c r="B6" s="1" t="n">
        <v>43573</v>
      </c>
      <c r="C6" s="1" t="n">
        <v>45569</v>
      </c>
      <c r="D6" t="inlineStr">
        <is>
          <t>VÄSTMANLANDS LÄN</t>
        </is>
      </c>
      <c r="E6" t="inlineStr">
        <is>
          <t>ARBOGA</t>
        </is>
      </c>
      <c r="G6" t="n">
        <v>9.800000000000001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20797-2019 artfynd.xlsx", "A 20797-2019")</f>
        <v/>
      </c>
      <c r="T6">
        <f>HYPERLINK("https://klasma.github.io/Logging_1984/kartor/A 20797-2019 karta.png", "A 20797-2019")</f>
        <v/>
      </c>
      <c r="V6">
        <f>HYPERLINK("https://klasma.github.io/Logging_1984/klagomål/A 20797-2019 FSC-klagomål.docx", "A 20797-2019")</f>
        <v/>
      </c>
      <c r="W6">
        <f>HYPERLINK("https://klasma.github.io/Logging_1984/klagomålsmail/A 20797-2019 FSC-klagomål mail.docx", "A 20797-2019")</f>
        <v/>
      </c>
      <c r="X6">
        <f>HYPERLINK("https://klasma.github.io/Logging_1984/tillsyn/A 20797-2019 tillsynsbegäran.docx", "A 20797-2019")</f>
        <v/>
      </c>
      <c r="Y6">
        <f>HYPERLINK("https://klasma.github.io/Logging_1984/tillsynsmail/A 20797-2019 tillsynsbegäran mail.docx", "A 20797-2019")</f>
        <v/>
      </c>
    </row>
    <row r="7" ht="15" customHeight="1">
      <c r="A7" t="inlineStr">
        <is>
          <t>A 50786-2019</t>
        </is>
      </c>
      <c r="B7" s="1" t="n">
        <v>43738</v>
      </c>
      <c r="C7" s="1" t="n">
        <v>45569</v>
      </c>
      <c r="D7" t="inlineStr">
        <is>
          <t>VÄSTMANLANDS LÄN</t>
        </is>
      </c>
      <c r="E7" t="inlineStr">
        <is>
          <t>ARBOGA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HYPERLINK("https://klasma.github.io/Logging_1984/artfynd/A 50786-2019 artfynd.xlsx", "A 50786-2019")</f>
        <v/>
      </c>
      <c r="T7">
        <f>HYPERLINK("https://klasma.github.io/Logging_1984/kartor/A 50786-2019 karta.png", "A 50786-2019")</f>
        <v/>
      </c>
      <c r="V7">
        <f>HYPERLINK("https://klasma.github.io/Logging_1984/klagomål/A 50786-2019 FSC-klagomål.docx", "A 50786-2019")</f>
        <v/>
      </c>
      <c r="W7">
        <f>HYPERLINK("https://klasma.github.io/Logging_1984/klagomålsmail/A 50786-2019 FSC-klagomål mail.docx", "A 50786-2019")</f>
        <v/>
      </c>
      <c r="X7">
        <f>HYPERLINK("https://klasma.github.io/Logging_1984/tillsyn/A 50786-2019 tillsynsbegäran.docx", "A 50786-2019")</f>
        <v/>
      </c>
      <c r="Y7">
        <f>HYPERLINK("https://klasma.github.io/Logging_1984/tillsynsmail/A 50786-2019 tillsynsbegäran mail.docx", "A 50786-2019")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45569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28050-2021</t>
        </is>
      </c>
      <c r="B9" s="1" t="n">
        <v>44355</v>
      </c>
      <c r="C9" s="1" t="n">
        <v>45569</v>
      </c>
      <c r="D9" t="inlineStr">
        <is>
          <t>VÄSTMANLANDS LÄN</t>
        </is>
      </c>
      <c r="E9" t="inlineStr">
        <is>
          <t>ARBOGA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HYPERLINK("https://klasma.github.io/Logging_1984/artfynd/A 28050-2021 artfynd.xlsx", "A 28050-2021")</f>
        <v/>
      </c>
      <c r="T9">
        <f>HYPERLINK("https://klasma.github.io/Logging_1984/kartor/A 28050-2021 karta.png", "A 28050-2021")</f>
        <v/>
      </c>
      <c r="V9">
        <f>HYPERLINK("https://klasma.github.io/Logging_1984/klagomål/A 28050-2021 FSC-klagomål.docx", "A 28050-2021")</f>
        <v/>
      </c>
      <c r="W9">
        <f>HYPERLINK("https://klasma.github.io/Logging_1984/klagomålsmail/A 28050-2021 FSC-klagomål mail.docx", "A 28050-2021")</f>
        <v/>
      </c>
      <c r="X9">
        <f>HYPERLINK("https://klasma.github.io/Logging_1984/tillsyn/A 28050-2021 tillsynsbegäran.docx", "A 28050-2021")</f>
        <v/>
      </c>
      <c r="Y9">
        <f>HYPERLINK("https://klasma.github.io/Logging_1984/tillsynsmail/A 28050-2021 tillsynsbegäran mail.docx", "A 28050-2021")</f>
        <v/>
      </c>
    </row>
    <row r="10" ht="15" customHeight="1">
      <c r="A10" t="inlineStr">
        <is>
          <t>A 48234-2022</t>
        </is>
      </c>
      <c r="B10" s="1" t="n">
        <v>44858</v>
      </c>
      <c r="C10" s="1" t="n">
        <v>45569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21.4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HYPERLINK("https://klasma.github.io/Logging_1984/artfynd/A 48234-2022 artfynd.xlsx", "A 48234-2022")</f>
        <v/>
      </c>
      <c r="T10">
        <f>HYPERLINK("https://klasma.github.io/Logging_1984/kartor/A 48234-2022 karta.png", "A 48234-2022")</f>
        <v/>
      </c>
      <c r="V10">
        <f>HYPERLINK("https://klasma.github.io/Logging_1984/klagomål/A 48234-2022 FSC-klagomål.docx", "A 48234-2022")</f>
        <v/>
      </c>
      <c r="W10">
        <f>HYPERLINK("https://klasma.github.io/Logging_1984/klagomålsmail/A 48234-2022 FSC-klagomål mail.docx", "A 48234-2022")</f>
        <v/>
      </c>
      <c r="X10">
        <f>HYPERLINK("https://klasma.github.io/Logging_1984/tillsyn/A 48234-2022 tillsynsbegäran.docx", "A 48234-2022")</f>
        <v/>
      </c>
      <c r="Y10">
        <f>HYPERLINK("https://klasma.github.io/Logging_1984/tillsynsmail/A 48234-2022 tillsynsbegäran mail.docx", "A 48234-2022")</f>
        <v/>
      </c>
    </row>
    <row r="11" ht="15" customHeight="1">
      <c r="A11" t="inlineStr">
        <is>
          <t>A 61435-2022</t>
        </is>
      </c>
      <c r="B11" s="1" t="n">
        <v>44916</v>
      </c>
      <c r="C11" s="1" t="n">
        <v>45569</v>
      </c>
      <c r="D11" t="inlineStr">
        <is>
          <t>VÄSTMANLANDS LÄN</t>
        </is>
      </c>
      <c r="E11" t="inlineStr">
        <is>
          <t>ARBOGA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HYPERLINK("https://klasma.github.io/Logging_1984/artfynd/A 61435-2022 artfynd.xlsx", "A 61435-2022")</f>
        <v/>
      </c>
      <c r="T11">
        <f>HYPERLINK("https://klasma.github.io/Logging_1984/kartor/A 61435-2022 karta.png", "A 61435-2022")</f>
        <v/>
      </c>
      <c r="V11">
        <f>HYPERLINK("https://klasma.github.io/Logging_1984/klagomål/A 61435-2022 FSC-klagomål.docx", "A 61435-2022")</f>
        <v/>
      </c>
      <c r="W11">
        <f>HYPERLINK("https://klasma.github.io/Logging_1984/klagomålsmail/A 61435-2022 FSC-klagomål mail.docx", "A 61435-2022")</f>
        <v/>
      </c>
      <c r="X11">
        <f>HYPERLINK("https://klasma.github.io/Logging_1984/tillsyn/A 61435-2022 tillsynsbegäran.docx", "A 61435-2022")</f>
        <v/>
      </c>
      <c r="Y11">
        <f>HYPERLINK("https://klasma.github.io/Logging_1984/tillsynsmail/A 61435-2022 tillsynsbegäran mail.docx", "A 61435-2022")</f>
        <v/>
      </c>
    </row>
    <row r="12" ht="15" customHeight="1">
      <c r="A12" t="inlineStr">
        <is>
          <t>A 43802-2023</t>
        </is>
      </c>
      <c r="B12" s="1" t="n">
        <v>45187</v>
      </c>
      <c r="C12" s="1" t="n">
        <v>45569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HYPERLINK("https://klasma.github.io/Logging_1984/artfynd/A 43802-2023 artfynd.xlsx", "A 43802-2023")</f>
        <v/>
      </c>
      <c r="T12">
        <f>HYPERLINK("https://klasma.github.io/Logging_1984/kartor/A 43802-2023 karta.png", "A 43802-2023")</f>
        <v/>
      </c>
      <c r="V12">
        <f>HYPERLINK("https://klasma.github.io/Logging_1984/klagomål/A 43802-2023 FSC-klagomål.docx", "A 43802-2023")</f>
        <v/>
      </c>
      <c r="W12">
        <f>HYPERLINK("https://klasma.github.io/Logging_1984/klagomålsmail/A 43802-2023 FSC-klagomål mail.docx", "A 43802-2023")</f>
        <v/>
      </c>
      <c r="X12">
        <f>HYPERLINK("https://klasma.github.io/Logging_1984/tillsyn/A 43802-2023 tillsynsbegäran.docx", "A 43802-2023")</f>
        <v/>
      </c>
      <c r="Y12">
        <f>HYPERLINK("https://klasma.github.io/Logging_1984/tillsynsmail/A 43802-2023 tillsynsbegäran mail.docx", "A 43802-2023")</f>
        <v/>
      </c>
    </row>
    <row r="13" ht="15" customHeight="1">
      <c r="A13" t="inlineStr">
        <is>
          <t>A 18495-2024</t>
        </is>
      </c>
      <c r="B13" s="1" t="n">
        <v>45425</v>
      </c>
      <c r="C13" s="1" t="n">
        <v>45569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HYPERLINK("https://klasma.github.io/Logging_1984/artfynd/A 18495-2024 artfynd.xlsx", "A 18495-2024")</f>
        <v/>
      </c>
      <c r="T13">
        <f>HYPERLINK("https://klasma.github.io/Logging_1984/kartor/A 18495-2024 karta.png", "A 18495-2024")</f>
        <v/>
      </c>
      <c r="V13">
        <f>HYPERLINK("https://klasma.github.io/Logging_1984/klagomål/A 18495-2024 FSC-klagomål.docx", "A 18495-2024")</f>
        <v/>
      </c>
      <c r="W13">
        <f>HYPERLINK("https://klasma.github.io/Logging_1984/klagomålsmail/A 18495-2024 FSC-klagomål mail.docx", "A 18495-2024")</f>
        <v/>
      </c>
      <c r="X13">
        <f>HYPERLINK("https://klasma.github.io/Logging_1984/tillsyn/A 18495-2024 tillsynsbegäran.docx", "A 18495-2024")</f>
        <v/>
      </c>
      <c r="Y13">
        <f>HYPERLINK("https://klasma.github.io/Logging_1984/tillsynsmail/A 18495-2024 tillsynsbegäran mail.docx", "A 18495-2024")</f>
        <v/>
      </c>
    </row>
    <row r="14" ht="15" customHeight="1">
      <c r="A14" t="inlineStr">
        <is>
          <t>A 20064-2024</t>
        </is>
      </c>
      <c r="B14" s="1" t="n">
        <v>45434</v>
      </c>
      <c r="C14" s="1" t="n">
        <v>45569</v>
      </c>
      <c r="D14" t="inlineStr">
        <is>
          <t>VÄSTMANLANDS LÄN</t>
        </is>
      </c>
      <c r="E14" t="inlineStr">
        <is>
          <t>ARBOGA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20064-2024 artfynd.xlsx", "A 20064-2024")</f>
        <v/>
      </c>
      <c r="T14">
        <f>HYPERLINK("https://klasma.github.io/Logging_1984/kartor/A 20064-2024 karta.png", "A 20064-2024")</f>
        <v/>
      </c>
      <c r="V14">
        <f>HYPERLINK("https://klasma.github.io/Logging_1984/klagomål/A 20064-2024 FSC-klagomål.docx", "A 20064-2024")</f>
        <v/>
      </c>
      <c r="W14">
        <f>HYPERLINK("https://klasma.github.io/Logging_1984/klagomålsmail/A 20064-2024 FSC-klagomål mail.docx", "A 20064-2024")</f>
        <v/>
      </c>
      <c r="X14">
        <f>HYPERLINK("https://klasma.github.io/Logging_1984/tillsyn/A 20064-2024 tillsynsbegäran.docx", "A 20064-2024")</f>
        <v/>
      </c>
      <c r="Y14">
        <f>HYPERLINK("https://klasma.github.io/Logging_1984/tillsynsmail/A 20064-2024 tillsynsbegäran mail.docx", "A 20064-2024")</f>
        <v/>
      </c>
    </row>
    <row r="15" ht="15" customHeight="1">
      <c r="A15" t="inlineStr">
        <is>
          <t>A 36185-2024</t>
        </is>
      </c>
      <c r="B15" s="1" t="n">
        <v>45534</v>
      </c>
      <c r="C15" s="1" t="n">
        <v>45569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9.199999999999999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HYPERLINK("https://klasma.github.io/Logging_1984/artfynd/A 36185-2024 artfynd.xlsx", "A 36185-2024")</f>
        <v/>
      </c>
      <c r="T15">
        <f>HYPERLINK("https://klasma.github.io/Logging_1984/kartor/A 36185-2024 karta.png", "A 36185-2024")</f>
        <v/>
      </c>
      <c r="V15">
        <f>HYPERLINK("https://klasma.github.io/Logging_1984/klagomål/A 36185-2024 FSC-klagomål.docx", "A 36185-2024")</f>
        <v/>
      </c>
      <c r="W15">
        <f>HYPERLINK("https://klasma.github.io/Logging_1984/klagomålsmail/A 36185-2024 FSC-klagomål mail.docx", "A 36185-2024")</f>
        <v/>
      </c>
      <c r="X15">
        <f>HYPERLINK("https://klasma.github.io/Logging_1984/tillsyn/A 36185-2024 tillsynsbegäran.docx", "A 36185-2024")</f>
        <v/>
      </c>
      <c r="Y15">
        <f>HYPERLINK("https://klasma.github.io/Logging_1984/tillsynsmail/A 36185-2024 tillsynsbegäran mail.docx", "A 36185-2024")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45569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45569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45569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45569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45569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45569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45569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45569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45569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45569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45569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45569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45569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45569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45569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45569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45569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45569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45569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45569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45569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45569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45569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45569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45569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45569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45569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45569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45569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45569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45569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45569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45569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45569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45569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45569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45569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45569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45569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45569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45569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45569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45569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45569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45569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45569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45569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45569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45569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45569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45569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45569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45569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45569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45569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45569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45569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45569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45569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45569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45569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45569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45569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45569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45569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45569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45569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45569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45569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45569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45569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45569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45569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45569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45569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45569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45569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45569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45569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45569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45569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45569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45569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45569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45569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45569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45569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45569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45569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45569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45569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45569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45569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45569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45569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45569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45569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45569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45569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45569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45569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45569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45569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45569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45569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45569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45569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45569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45569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45569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45569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45569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45569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45569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45569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45569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45569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45569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45569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45569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45569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45569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45569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45569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45569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45569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45569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45569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45569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45569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45569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45569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45569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45569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45569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45569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45569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45569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45569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45569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45569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45569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45569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45569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45569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45569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45569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45569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45569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45569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45569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45569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45569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45569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45569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45569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45569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45569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45569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45569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45569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45569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45569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45569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45569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45569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45569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45569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45569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45569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45569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45569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45569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45569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45569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45569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45569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45569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45569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45569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45569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45569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45569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45569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45569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45569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45569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45569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45569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45569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45569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45569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45569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45569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45569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45569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45569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45569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45569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45569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45569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45569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45569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45569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45569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45569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45569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45569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45569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45569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45569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45569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45569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45569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45569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45569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45569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45569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45569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45569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45569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45569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45569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45569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45569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45569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45569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45569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45569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45569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45569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45569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45569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45569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45569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45569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45569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45569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45569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45569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45569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45569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45569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45569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45569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45569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45569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45569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45569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45569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45569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45569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45569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45569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45569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45569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45569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45569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45569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45569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45569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45569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45569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45569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45569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45569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45569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45569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45569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45569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45569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45569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45569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45569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45569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45569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45569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45569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45569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45569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45569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45569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45569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45569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45569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45569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45569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45569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45569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45569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45569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45569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45569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45569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45569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45569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45569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45569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45569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45569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45569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45569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45569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45569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45569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45569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45569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45569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45569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45569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38775-2024</t>
        </is>
      </c>
      <c r="B326" s="1" t="n">
        <v>45547</v>
      </c>
      <c r="C326" s="1" t="n">
        <v>45569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45569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45569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45569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45569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2024-10-04T13:02:43Z</dcterms:created>
  <dcterms:modified xmlns:dcterms="http://purl.org/dc/terms/" xmlns:xsi="http://www.w3.org/2001/XMLSchema-instance" xsi:type="dcterms:W3CDTF">2024-10-04T13:02:43Z</dcterms:modified>
</cp:coreProperties>
</file>