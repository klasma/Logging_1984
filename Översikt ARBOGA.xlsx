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26044-2025</t>
        </is>
      </c>
      <c r="B3" s="1" t="n">
        <v>45804</v>
      </c>
      <c r="C3" s="1" t="n">
        <v>46197</v>
      </c>
      <c r="D3" t="inlineStr">
        <is>
          <t>VÄSTMANLANDS LÄN</t>
        </is>
      </c>
      <c r="E3" t="inlineStr">
        <is>
          <t>ARBOGA</t>
        </is>
      </c>
      <c r="G3" t="n">
        <v>31.3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Blåsippa
Getrams
Humleblomster</t>
        </is>
      </c>
      <c r="S3">
        <f>HYPERLINK("https://klasma.github.io/Logging_1984/artfynd/A 26044-2025 artfynd.xlsx", "A 26044-2025")</f>
        <v/>
      </c>
      <c r="T3">
        <f>HYPERLINK("https://klasma.github.io/Logging_1984/kartor/A 26044-2025 karta.png", "A 26044-2025")</f>
        <v/>
      </c>
      <c r="V3">
        <f>HYPERLINK("https://klasma.github.io/Logging_1984/klagomål/A 26044-2025 FSC-klagomål.docx", "A 26044-2025")</f>
        <v/>
      </c>
      <c r="W3">
        <f>HYPERLINK("https://klasma.github.io/Logging_1984/klagomålsmail/A 26044-2025 FSC-klagomål mail.docx", "A 26044-2025")</f>
        <v/>
      </c>
      <c r="X3">
        <f>HYPERLINK("https://klasma.github.io/Logging_1984/tillsyn/A 26044-2025 tillsynsbegäran.docx", "A 26044-2025")</f>
        <v/>
      </c>
      <c r="Y3">
        <f>HYPERLINK("https://klasma.github.io/Logging_1984/tillsynsmail/A 26044-2025 tillsynsbegäran mail.docx", "A 26044-2025")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46197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Koralltaggsvamp
Fällmossa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20064-2024</t>
        </is>
      </c>
      <c r="B5" s="1" t="n">
        <v>45434</v>
      </c>
      <c r="C5" s="1" t="n">
        <v>46197</v>
      </c>
      <c r="D5" t="inlineStr">
        <is>
          <t>VÄSTMANLANDS LÄN</t>
        </is>
      </c>
      <c r="E5" t="inlineStr">
        <is>
          <t>ARBOGA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Vanlig padda</t>
        </is>
      </c>
      <c r="S5">
        <f>HYPERLINK("https://klasma.github.io/Logging_1984/artfynd/A 20064-2024 artfynd.xlsx", "A 20064-2024")</f>
        <v/>
      </c>
      <c r="T5">
        <f>HYPERLINK("https://klasma.github.io/Logging_1984/kartor/A 20064-2024 karta.png", "A 20064-2024")</f>
        <v/>
      </c>
      <c r="V5">
        <f>HYPERLINK("https://klasma.github.io/Logging_1984/klagomål/A 20064-2024 FSC-klagomål.docx", "A 20064-2024")</f>
        <v/>
      </c>
      <c r="W5">
        <f>HYPERLINK("https://klasma.github.io/Logging_1984/klagomålsmail/A 20064-2024 FSC-klagomål mail.docx", "A 20064-2024")</f>
        <v/>
      </c>
      <c r="X5">
        <f>HYPERLINK("https://klasma.github.io/Logging_1984/tillsyn/A 20064-2024 tillsynsbegäran.docx", "A 20064-2024")</f>
        <v/>
      </c>
      <c r="Y5">
        <f>HYPERLINK("https://klasma.github.io/Logging_1984/tillsynsmail/A 20064-2024 tillsynsbegäran mail.docx", "A 20064-2024")</f>
        <v/>
      </c>
    </row>
    <row r="6" ht="15" customHeight="1">
      <c r="A6" t="inlineStr">
        <is>
          <t>A 947-2025</t>
        </is>
      </c>
      <c r="B6" s="1" t="n">
        <v>45666</v>
      </c>
      <c r="C6" s="1" t="n">
        <v>46197</v>
      </c>
      <c r="D6" t="inlineStr">
        <is>
          <t>VÄSTMANLANDS LÄN</t>
        </is>
      </c>
      <c r="E6" t="inlineStr">
        <is>
          <t>ARBOGA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Sälg
Gullviva</t>
        </is>
      </c>
      <c r="S6">
        <f>HYPERLINK("https://klasma.github.io/Logging_1984/artfynd/A 947-2025 artfynd.xlsx", "A 947-2025")</f>
        <v/>
      </c>
      <c r="T6">
        <f>HYPERLINK("https://klasma.github.io/Logging_1984/kartor/A 947-2025 karta.png", "A 947-2025")</f>
        <v/>
      </c>
      <c r="V6">
        <f>HYPERLINK("https://klasma.github.io/Logging_1984/klagomål/A 947-2025 FSC-klagomål.docx", "A 947-2025")</f>
        <v/>
      </c>
      <c r="W6">
        <f>HYPERLINK("https://klasma.github.io/Logging_1984/klagomålsmail/A 947-2025 FSC-klagomål mail.docx", "A 947-2025")</f>
        <v/>
      </c>
      <c r="X6">
        <f>HYPERLINK("https://klasma.github.io/Logging_1984/tillsyn/A 947-2025 tillsynsbegäran.docx", "A 947-2025")</f>
        <v/>
      </c>
      <c r="Y6">
        <f>HYPERLINK("https://klasma.github.io/Logging_1984/tillsynsmail/A 947-2025 tillsynsbegäran mail.docx", "A 947-2025")</f>
        <v/>
      </c>
    </row>
    <row r="7" ht="15" customHeight="1">
      <c r="A7" t="inlineStr">
        <is>
          <t>A 46674-2023</t>
        </is>
      </c>
      <c r="B7" s="1" t="n">
        <v>45198</v>
      </c>
      <c r="C7" s="1" t="n">
        <v>46197</v>
      </c>
      <c r="D7" t="inlineStr">
        <is>
          <t>VÄSTMANLANDS LÄN</t>
        </is>
      </c>
      <c r="E7" t="inlineStr">
        <is>
          <t>ARBOGA</t>
        </is>
      </c>
      <c r="G7" t="n">
        <v>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Getrams</t>
        </is>
      </c>
      <c r="S7">
        <f>HYPERLINK("https://klasma.github.io/Logging_1984/artfynd/A 46674-2023 artfynd.xlsx", "A 46674-2023")</f>
        <v/>
      </c>
      <c r="T7">
        <f>HYPERLINK("https://klasma.github.io/Logging_1984/kartor/A 46674-2023 karta.png", "A 46674-2023")</f>
        <v/>
      </c>
      <c r="V7">
        <f>HYPERLINK("https://klasma.github.io/Logging_1984/klagomål/A 46674-2023 FSC-klagomål.docx", "A 46674-2023")</f>
        <v/>
      </c>
      <c r="W7">
        <f>HYPERLINK("https://klasma.github.io/Logging_1984/klagomålsmail/A 46674-2023 FSC-klagomål mail.docx", "A 46674-2023")</f>
        <v/>
      </c>
      <c r="X7">
        <f>HYPERLINK("https://klasma.github.io/Logging_1984/tillsyn/A 46674-2023 tillsynsbegäran.docx", "A 46674-2023")</f>
        <v/>
      </c>
      <c r="Y7">
        <f>HYPERLINK("https://klasma.github.io/Logging_1984/tillsynsmail/A 46674-2023 tillsynsbegäran mail.docx", "A 46674-2023")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46197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26128-2026</t>
        </is>
      </c>
      <c r="B9" s="1" t="n">
        <v>46177</v>
      </c>
      <c r="C9" s="1" t="n">
        <v>46197</v>
      </c>
      <c r="D9" t="inlineStr">
        <is>
          <t>VÄSTMANLANDS LÄN</t>
        </is>
      </c>
      <c r="E9" t="inlineStr">
        <is>
          <t>ARBOGA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Bred kärrtrollslända</t>
        </is>
      </c>
      <c r="S9">
        <f>HYPERLINK("https://klasma.github.io/Logging_1984/artfynd/A 26128-2026 artfynd.xlsx", "A 26128-2026")</f>
        <v/>
      </c>
      <c r="T9">
        <f>HYPERLINK("https://klasma.github.io/Logging_1984/kartor/A 26128-2026 karta.png", "A 26128-2026")</f>
        <v/>
      </c>
      <c r="V9">
        <f>HYPERLINK("https://klasma.github.io/Logging_1984/klagomål/A 26128-2026 FSC-klagomål.docx", "A 26128-2026")</f>
        <v/>
      </c>
      <c r="W9">
        <f>HYPERLINK("https://klasma.github.io/Logging_1984/klagomålsmail/A 26128-2026 FSC-klagomål mail.docx", "A 26128-2026")</f>
        <v/>
      </c>
      <c r="X9">
        <f>HYPERLINK("https://klasma.github.io/Logging_1984/tillsyn/A 26128-2026 tillsynsbegäran.docx", "A 26128-2026")</f>
        <v/>
      </c>
      <c r="Y9">
        <f>HYPERLINK("https://klasma.github.io/Logging_1984/tillsynsmail/A 26128-2026 tillsynsbegäran mail.docx", "A 26128-2026")</f>
        <v/>
      </c>
    </row>
    <row r="10" ht="15" customHeight="1">
      <c r="A10" t="inlineStr">
        <is>
          <t>A 56463-2024</t>
        </is>
      </c>
      <c r="B10" s="1" t="n">
        <v>45625</v>
      </c>
      <c r="C10" s="1" t="n">
        <v>46197</v>
      </c>
      <c r="D10" t="inlineStr">
        <is>
          <t>VÄSTMANLANDS LÄN</t>
        </is>
      </c>
      <c r="E10" t="inlineStr">
        <is>
          <t>ARBOGA</t>
        </is>
      </c>
      <c r="F10" t="inlineStr">
        <is>
          <t>Kommuner</t>
        </is>
      </c>
      <c r="G10" t="n">
        <v>12.2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HYPERLINK("https://klasma.github.io/Logging_1984/artfynd/A 56463-2024 artfynd.xlsx", "A 56463-2024")</f>
        <v/>
      </c>
      <c r="T10">
        <f>HYPERLINK("https://klasma.github.io/Logging_1984/kartor/A 56463-2024 karta.png", "A 56463-2024")</f>
        <v/>
      </c>
      <c r="V10">
        <f>HYPERLINK("https://klasma.github.io/Logging_1984/klagomål/A 56463-2024 FSC-klagomål.docx", "A 56463-2024")</f>
        <v/>
      </c>
      <c r="W10">
        <f>HYPERLINK("https://klasma.github.io/Logging_1984/klagomålsmail/A 56463-2024 FSC-klagomål mail.docx", "A 56463-2024")</f>
        <v/>
      </c>
      <c r="X10">
        <f>HYPERLINK("https://klasma.github.io/Logging_1984/tillsyn/A 56463-2024 tillsynsbegäran.docx", "A 56463-2024")</f>
        <v/>
      </c>
      <c r="Y10">
        <f>HYPERLINK("https://klasma.github.io/Logging_1984/tillsynsmail/A 56463-2024 tillsynsbegäran mail.docx", "A 56463-2024")</f>
        <v/>
      </c>
    </row>
    <row r="11" ht="15" customHeight="1">
      <c r="A11" t="inlineStr">
        <is>
          <t>A 24244-2025</t>
        </is>
      </c>
      <c r="B11" s="1" t="n">
        <v>45796</v>
      </c>
      <c r="C11" s="1" t="n">
        <v>46197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HYPERLINK("https://klasma.github.io/Logging_1984/artfynd/A 24244-2025 artfynd.xlsx", "A 24244-2025")</f>
        <v/>
      </c>
      <c r="T11">
        <f>HYPERLINK("https://klasma.github.io/Logging_1984/kartor/A 24244-2025 karta.png", "A 24244-2025")</f>
        <v/>
      </c>
      <c r="V11">
        <f>HYPERLINK("https://klasma.github.io/Logging_1984/klagomål/A 24244-2025 FSC-klagomål.docx", "A 24244-2025")</f>
        <v/>
      </c>
      <c r="W11">
        <f>HYPERLINK("https://klasma.github.io/Logging_1984/klagomålsmail/A 24244-2025 FSC-klagomål mail.docx", "A 24244-2025")</f>
        <v/>
      </c>
      <c r="X11">
        <f>HYPERLINK("https://klasma.github.io/Logging_1984/tillsyn/A 24244-2025 tillsynsbegäran.docx", "A 24244-2025")</f>
        <v/>
      </c>
      <c r="Y11">
        <f>HYPERLINK("https://klasma.github.io/Logging_1984/tillsynsmail/A 24244-2025 tillsynsbegäran mail.docx", "A 24244-2025")</f>
        <v/>
      </c>
    </row>
    <row r="12" ht="15" customHeight="1">
      <c r="A12" t="inlineStr">
        <is>
          <t>A 12909-2022</t>
        </is>
      </c>
      <c r="B12" s="1" t="n">
        <v>44642</v>
      </c>
      <c r="C12" s="1" t="n">
        <v>46197</v>
      </c>
      <c r="D12" t="inlineStr">
        <is>
          <t>VÄSTMANLANDS LÄN</t>
        </is>
      </c>
      <c r="E12" t="inlineStr">
        <is>
          <t>ARBOGA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38068-2021</t>
        </is>
      </c>
      <c r="B13" s="1" t="n">
        <v>44404</v>
      </c>
      <c r="C13" s="1" t="n">
        <v>46197</v>
      </c>
      <c r="D13" t="inlineStr">
        <is>
          <t>VÄSTMANLANDS LÄN</t>
        </is>
      </c>
      <c r="E13" t="inlineStr">
        <is>
          <t>ARBOGA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38067-2021</t>
        </is>
      </c>
      <c r="B14" s="1" t="n">
        <v>44404</v>
      </c>
      <c r="C14" s="1" t="n">
        <v>46197</v>
      </c>
      <c r="D14" t="inlineStr">
        <is>
          <t>VÄSTMANLANDS LÄN</t>
        </is>
      </c>
      <c r="E14" t="inlineStr">
        <is>
          <t>ARBOGA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46197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46197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46197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46197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46197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46197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46197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46197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46197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46197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46197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46197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</v>
      </c>
      <c r="C27" s="1" t="n">
        <v>46197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46197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</v>
      </c>
      <c r="C29" s="1" t="n">
        <v>46197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46197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46197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46197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30305-2022</t>
        </is>
      </c>
      <c r="B33" s="1" t="n">
        <v>44760</v>
      </c>
      <c r="C33" s="1" t="n">
        <v>46197</v>
      </c>
      <c r="D33" t="inlineStr">
        <is>
          <t>VÄSTMANLANDS LÄN</t>
        </is>
      </c>
      <c r="E33" t="inlineStr">
        <is>
          <t>ARBOGA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6666-2024</t>
        </is>
      </c>
      <c r="B34" s="1" t="n">
        <v>45341</v>
      </c>
      <c r="C34" s="1" t="n">
        <v>46197</v>
      </c>
      <c r="D34" t="inlineStr">
        <is>
          <t>VÄSTMANLANDS LÄN</t>
        </is>
      </c>
      <c r="E34" t="inlineStr">
        <is>
          <t>ARBOGA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14770-2024</t>
        </is>
      </c>
      <c r="B35" s="1" t="n">
        <v>45397</v>
      </c>
      <c r="C35" s="1" t="n">
        <v>46197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53653-2023</t>
        </is>
      </c>
      <c r="B36" s="1" t="n">
        <v>45230</v>
      </c>
      <c r="C36" s="1" t="n">
        <v>46197</v>
      </c>
      <c r="D36" t="inlineStr">
        <is>
          <t>VÄSTMANLANDS LÄN</t>
        </is>
      </c>
      <c r="E36" t="inlineStr">
        <is>
          <t>ARBOGA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13121-2024</t>
        </is>
      </c>
      <c r="B37" s="1" t="n">
        <v>45385</v>
      </c>
      <c r="C37" s="1" t="n">
        <v>46197</v>
      </c>
      <c r="D37" t="inlineStr">
        <is>
          <t>VÄSTMANLANDS LÄN</t>
        </is>
      </c>
      <c r="E37" t="inlineStr">
        <is>
          <t>ARBOGA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35600-2021</t>
        </is>
      </c>
      <c r="B38" s="1" t="n">
        <v>44386</v>
      </c>
      <c r="C38" s="1" t="n">
        <v>46197</v>
      </c>
      <c r="D38" t="inlineStr">
        <is>
          <t>VÄSTMANLANDS LÄN</t>
        </is>
      </c>
      <c r="E38" t="inlineStr">
        <is>
          <t>ARBOGA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12405-2024</t>
        </is>
      </c>
      <c r="B39" s="1" t="n">
        <v>45379</v>
      </c>
      <c r="C39" s="1" t="n">
        <v>46197</v>
      </c>
      <c r="D39" t="inlineStr">
        <is>
          <t>VÄSTMANLANDS LÄN</t>
        </is>
      </c>
      <c r="E39" t="inlineStr">
        <is>
          <t>ARBOGA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3113-2022</t>
        </is>
      </c>
      <c r="B40" s="1" t="n">
        <v>44582</v>
      </c>
      <c r="C40" s="1" t="n">
        <v>46197</v>
      </c>
      <c r="D40" t="inlineStr">
        <is>
          <t>VÄSTMANLANDS LÄN</t>
        </is>
      </c>
      <c r="E40" t="inlineStr">
        <is>
          <t>ARBOGA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3128-2022</t>
        </is>
      </c>
      <c r="B41" s="1" t="n">
        <v>44582</v>
      </c>
      <c r="C41" s="1" t="n">
        <v>46197</v>
      </c>
      <c r="D41" t="inlineStr">
        <is>
          <t>VÄSTMANLANDS LÄN</t>
        </is>
      </c>
      <c r="E41" t="inlineStr">
        <is>
          <t>ARBOGA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55188-2022</t>
        </is>
      </c>
      <c r="B42" s="1" t="n">
        <v>44886</v>
      </c>
      <c r="C42" s="1" t="n">
        <v>46197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64833-2021</t>
        </is>
      </c>
      <c r="B43" s="1" t="n">
        <v>44512</v>
      </c>
      <c r="C43" s="1" t="n">
        <v>46197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2656-2026</t>
        </is>
      </c>
      <c r="B44" s="1" t="n">
        <v>46037</v>
      </c>
      <c r="C44" s="1" t="n">
        <v>46197</v>
      </c>
      <c r="D44" t="inlineStr">
        <is>
          <t>VÄSTMANLANDS LÄN</t>
        </is>
      </c>
      <c r="E44" t="inlineStr">
        <is>
          <t>ARBOGA</t>
        </is>
      </c>
      <c r="G44" t="n">
        <v>9.1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38302-2025</t>
        </is>
      </c>
      <c r="B45" s="1" t="n">
        <v>45883</v>
      </c>
      <c r="C45" s="1" t="n">
        <v>46197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669-2025</t>
        </is>
      </c>
      <c r="B46" s="1" t="n">
        <v>45664</v>
      </c>
      <c r="C46" s="1" t="n">
        <v>46197</v>
      </c>
      <c r="D46" t="inlineStr">
        <is>
          <t>VÄSTMANLANDS LÄN</t>
        </is>
      </c>
      <c r="E46" t="inlineStr">
        <is>
          <t>ARBOGA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38299-2025</t>
        </is>
      </c>
      <c r="B47" s="1" t="n">
        <v>45883</v>
      </c>
      <c r="C47" s="1" t="n">
        <v>46197</v>
      </c>
      <c r="D47" t="inlineStr">
        <is>
          <t>VÄSTMANLANDS LÄN</t>
        </is>
      </c>
      <c r="E47" t="inlineStr">
        <is>
          <t>ARBOGA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28069-2025</t>
        </is>
      </c>
      <c r="B48" s="1" t="n">
        <v>45817</v>
      </c>
      <c r="C48" s="1" t="n">
        <v>46197</v>
      </c>
      <c r="D48" t="inlineStr">
        <is>
          <t>VÄSTMANLANDS LÄN</t>
        </is>
      </c>
      <c r="E48" t="inlineStr">
        <is>
          <t>ARBOGA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55187-2022</t>
        </is>
      </c>
      <c r="B49" s="1" t="n">
        <v>44886</v>
      </c>
      <c r="C49" s="1" t="n">
        <v>46197</v>
      </c>
      <c r="D49" t="inlineStr">
        <is>
          <t>VÄSTMANLANDS LÄN</t>
        </is>
      </c>
      <c r="E49" t="inlineStr">
        <is>
          <t>ARBOGA</t>
        </is>
      </c>
      <c r="F49" t="inlineStr">
        <is>
          <t>Allmännings- och besparingsskogar</t>
        </is>
      </c>
      <c r="G49" t="n">
        <v>19.4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6528-2025</t>
        </is>
      </c>
      <c r="B50" s="1" t="n">
        <v>45699</v>
      </c>
      <c r="C50" s="1" t="n">
        <v>46197</v>
      </c>
      <c r="D50" t="inlineStr">
        <is>
          <t>VÄSTMANLANDS LÄN</t>
        </is>
      </c>
      <c r="E50" t="inlineStr">
        <is>
          <t>ARBOGA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68237-2021</t>
        </is>
      </c>
      <c r="B51" s="1" t="n">
        <v>44526</v>
      </c>
      <c r="C51" s="1" t="n">
        <v>46197</v>
      </c>
      <c r="D51" t="inlineStr">
        <is>
          <t>VÄSTMANLANDS LÄN</t>
        </is>
      </c>
      <c r="E51" t="inlineStr">
        <is>
          <t>ARBOGA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16447-2022</t>
        </is>
      </c>
      <c r="B52" s="1" t="n">
        <v>44671</v>
      </c>
      <c r="C52" s="1" t="n">
        <v>46197</v>
      </c>
      <c r="D52" t="inlineStr">
        <is>
          <t>VÄSTMANLANDS LÄN</t>
        </is>
      </c>
      <c r="E52" t="inlineStr">
        <is>
          <t>ARBOGA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8125-2023</t>
        </is>
      </c>
      <c r="B53" s="1" t="n">
        <v>44974</v>
      </c>
      <c r="C53" s="1" t="n">
        <v>46197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14.1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41490-2024</t>
        </is>
      </c>
      <c r="B54" s="1" t="n">
        <v>45560</v>
      </c>
      <c r="C54" s="1" t="n">
        <v>46197</v>
      </c>
      <c r="D54" t="inlineStr">
        <is>
          <t>VÄSTMANLANDS LÄN</t>
        </is>
      </c>
      <c r="E54" t="inlineStr">
        <is>
          <t>ARBOGA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9247-2024</t>
        </is>
      </c>
      <c r="B55" s="1" t="n">
        <v>45358</v>
      </c>
      <c r="C55" s="1" t="n">
        <v>46197</v>
      </c>
      <c r="D55" t="inlineStr">
        <is>
          <t>VÄSTMANLANDS LÄN</t>
        </is>
      </c>
      <c r="E55" t="inlineStr">
        <is>
          <t>ARBOGA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55457-2022</t>
        </is>
      </c>
      <c r="B56" s="1" t="n">
        <v>44887</v>
      </c>
      <c r="C56" s="1" t="n">
        <v>46197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45116-2025</t>
        </is>
      </c>
      <c r="B57" s="1" t="n">
        <v>45919</v>
      </c>
      <c r="C57" s="1" t="n">
        <v>46197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45128-2025</t>
        </is>
      </c>
      <c r="B58" s="1" t="n">
        <v>45919</v>
      </c>
      <c r="C58" s="1" t="n">
        <v>46197</v>
      </c>
      <c r="D58" t="inlineStr">
        <is>
          <t>VÄSTMANLANDS LÄN</t>
        </is>
      </c>
      <c r="E58" t="inlineStr">
        <is>
          <t>ARBOGA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45143-2025</t>
        </is>
      </c>
      <c r="B59" s="1" t="n">
        <v>45919</v>
      </c>
      <c r="C59" s="1" t="n">
        <v>46197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50007-2021</t>
        </is>
      </c>
      <c r="B60" s="1" t="n">
        <v>44456</v>
      </c>
      <c r="C60" s="1" t="n">
        <v>46197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45154-2025</t>
        </is>
      </c>
      <c r="B61" s="1" t="n">
        <v>45919</v>
      </c>
      <c r="C61" s="1" t="n">
        <v>46197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13595-2023</t>
        </is>
      </c>
      <c r="B62" s="1" t="n">
        <v>45006</v>
      </c>
      <c r="C62" s="1" t="n">
        <v>46197</v>
      </c>
      <c r="D62" t="inlineStr">
        <is>
          <t>VÄSTMANLANDS LÄN</t>
        </is>
      </c>
      <c r="E62" t="inlineStr">
        <is>
          <t>ARBOGA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43812-2023</t>
        </is>
      </c>
      <c r="B63" s="1" t="n">
        <v>45187</v>
      </c>
      <c r="C63" s="1" t="n">
        <v>46197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61388-2023</t>
        </is>
      </c>
      <c r="B64" s="1" t="n">
        <v>45264</v>
      </c>
      <c r="C64" s="1" t="n">
        <v>46197</v>
      </c>
      <c r="D64" t="inlineStr">
        <is>
          <t>VÄSTMANLANDS LÄN</t>
        </is>
      </c>
      <c r="E64" t="inlineStr">
        <is>
          <t>ARBOGA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48121-2025</t>
        </is>
      </c>
      <c r="B65" s="1" t="n">
        <v>45933</v>
      </c>
      <c r="C65" s="1" t="n">
        <v>46197</v>
      </c>
      <c r="D65" t="inlineStr">
        <is>
          <t>VÄSTMANLANDS LÄN</t>
        </is>
      </c>
      <c r="E65" t="inlineStr">
        <is>
          <t>ARBOGA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48537-2025</t>
        </is>
      </c>
      <c r="B66" s="1" t="n">
        <v>45936</v>
      </c>
      <c r="C66" s="1" t="n">
        <v>46197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59970-2022</t>
        </is>
      </c>
      <c r="B67" s="1" t="n">
        <v>44909</v>
      </c>
      <c r="C67" s="1" t="n">
        <v>46197</v>
      </c>
      <c r="D67" t="inlineStr">
        <is>
          <t>VÄSTMANLANDS LÄN</t>
        </is>
      </c>
      <c r="E67" t="inlineStr">
        <is>
          <t>ARBOGA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56982-2024</t>
        </is>
      </c>
      <c r="B68" s="1" t="n">
        <v>45628</v>
      </c>
      <c r="C68" s="1" t="n">
        <v>46197</v>
      </c>
      <c r="D68" t="inlineStr">
        <is>
          <t>VÄSTMANLANDS LÄN</t>
        </is>
      </c>
      <c r="E68" t="inlineStr">
        <is>
          <t>ARBOGA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12650-2023</t>
        </is>
      </c>
      <c r="B69" s="1" t="n">
        <v>45000</v>
      </c>
      <c r="C69" s="1" t="n">
        <v>46197</v>
      </c>
      <c r="D69" t="inlineStr">
        <is>
          <t>VÄSTMANLANDS LÄN</t>
        </is>
      </c>
      <c r="E69" t="inlineStr">
        <is>
          <t>ARBOGA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32275-2024</t>
        </is>
      </c>
      <c r="B70" s="1" t="n">
        <v>45512</v>
      </c>
      <c r="C70" s="1" t="n">
        <v>46197</v>
      </c>
      <c r="D70" t="inlineStr">
        <is>
          <t>VÄSTMANLANDS LÄN</t>
        </is>
      </c>
      <c r="E70" t="inlineStr">
        <is>
          <t>ARBOGA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37414-2021</t>
        </is>
      </c>
      <c r="B71" s="1" t="n">
        <v>44398</v>
      </c>
      <c r="C71" s="1" t="n">
        <v>46197</v>
      </c>
      <c r="D71" t="inlineStr">
        <is>
          <t>VÄSTMANLANDS LÄN</t>
        </is>
      </c>
      <c r="E71" t="inlineStr">
        <is>
          <t>ARBOGA</t>
        </is>
      </c>
      <c r="F71" t="inlineStr">
        <is>
          <t>Kyrkan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51989-2025</t>
        </is>
      </c>
      <c r="B72" s="1" t="n">
        <v>45952</v>
      </c>
      <c r="C72" s="1" t="n">
        <v>46197</v>
      </c>
      <c r="D72" t="inlineStr">
        <is>
          <t>VÄSTMANLANDS LÄN</t>
        </is>
      </c>
      <c r="E72" t="inlineStr">
        <is>
          <t>ARBOGA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54032-2025</t>
        </is>
      </c>
      <c r="B73" s="1" t="n">
        <v>45962</v>
      </c>
      <c r="C73" s="1" t="n">
        <v>46197</v>
      </c>
      <c r="D73" t="inlineStr">
        <is>
          <t>VÄSTMANLANDS LÄN</t>
        </is>
      </c>
      <c r="E73" t="inlineStr">
        <is>
          <t>ARBOGA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54470-2025</t>
        </is>
      </c>
      <c r="B74" s="1" t="n">
        <v>45965</v>
      </c>
      <c r="C74" s="1" t="n">
        <v>46197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11.6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56345-2023</t>
        </is>
      </c>
      <c r="B75" s="1" t="n">
        <v>45243</v>
      </c>
      <c r="C75" s="1" t="n">
        <v>46197</v>
      </c>
      <c r="D75" t="inlineStr">
        <is>
          <t>VÄSTMANLANDS LÄN</t>
        </is>
      </c>
      <c r="E75" t="inlineStr">
        <is>
          <t>ARBOGA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38785-2021</t>
        </is>
      </c>
      <c r="B76" s="1" t="n">
        <v>44410</v>
      </c>
      <c r="C76" s="1" t="n">
        <v>46197</v>
      </c>
      <c r="D76" t="inlineStr">
        <is>
          <t>VÄSTMANLANDS LÄN</t>
        </is>
      </c>
      <c r="E76" t="inlineStr">
        <is>
          <t>ARBOGA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10698-2026</t>
        </is>
      </c>
      <c r="B77" s="1" t="n">
        <v>46078</v>
      </c>
      <c r="C77" s="1" t="n">
        <v>46197</v>
      </c>
      <c r="D77" t="inlineStr">
        <is>
          <t>VÄSTMANLANDS LÄN</t>
        </is>
      </c>
      <c r="E77" t="inlineStr">
        <is>
          <t>ARBOGA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10702-2026</t>
        </is>
      </c>
      <c r="B78" s="1" t="n">
        <v>46078</v>
      </c>
      <c r="C78" s="1" t="n">
        <v>46197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10665-2026</t>
        </is>
      </c>
      <c r="B79" s="1" t="n">
        <v>46078</v>
      </c>
      <c r="C79" s="1" t="n">
        <v>46197</v>
      </c>
      <c r="D79" t="inlineStr">
        <is>
          <t>VÄSTMANLANDS LÄN</t>
        </is>
      </c>
      <c r="E79" t="inlineStr">
        <is>
          <t>ARBOGA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744-2025</t>
        </is>
      </c>
      <c r="B80" s="1" t="n">
        <v>45665</v>
      </c>
      <c r="C80" s="1" t="n">
        <v>46197</v>
      </c>
      <c r="D80" t="inlineStr">
        <is>
          <t>VÄSTMANLANDS LÄN</t>
        </is>
      </c>
      <c r="E80" t="inlineStr">
        <is>
          <t>ARBOGA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58781-2025</t>
        </is>
      </c>
      <c r="B81" s="1" t="n">
        <v>45986</v>
      </c>
      <c r="C81" s="1" t="n">
        <v>46197</v>
      </c>
      <c r="D81" t="inlineStr">
        <is>
          <t>VÄSTMANLANDS LÄN</t>
        </is>
      </c>
      <c r="E81" t="inlineStr">
        <is>
          <t>ARBOGA</t>
        </is>
      </c>
      <c r="F81" t="inlineStr">
        <is>
          <t>Kyrkan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58194-2025</t>
        </is>
      </c>
      <c r="B82" s="1" t="n">
        <v>45983</v>
      </c>
      <c r="C82" s="1" t="n">
        <v>46197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45797-2022</t>
        </is>
      </c>
      <c r="B83" s="1" t="n">
        <v>44844</v>
      </c>
      <c r="C83" s="1" t="n">
        <v>46197</v>
      </c>
      <c r="D83" t="inlineStr">
        <is>
          <t>VÄSTMANLANDS LÄN</t>
        </is>
      </c>
      <c r="E83" t="inlineStr">
        <is>
          <t>ARBOGA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58196-2025</t>
        </is>
      </c>
      <c r="B84" s="1" t="n">
        <v>45983</v>
      </c>
      <c r="C84" s="1" t="n">
        <v>46197</v>
      </c>
      <c r="D84" t="inlineStr">
        <is>
          <t>VÄSTMANLANDS LÄN</t>
        </is>
      </c>
      <c r="E84" t="inlineStr">
        <is>
          <t>ARBOGA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30323-2023</t>
        </is>
      </c>
      <c r="B85" s="1" t="n">
        <v>45111</v>
      </c>
      <c r="C85" s="1" t="n">
        <v>46197</v>
      </c>
      <c r="D85" t="inlineStr">
        <is>
          <t>VÄSTMANLANDS LÄN</t>
        </is>
      </c>
      <c r="E85" t="inlineStr">
        <is>
          <t>ARBOGA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60880-2025</t>
        </is>
      </c>
      <c r="B86" s="1" t="n">
        <v>45999</v>
      </c>
      <c r="C86" s="1" t="n">
        <v>46197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10699-2026</t>
        </is>
      </c>
      <c r="B87" s="1" t="n">
        <v>46078</v>
      </c>
      <c r="C87" s="1" t="n">
        <v>46197</v>
      </c>
      <c r="D87" t="inlineStr">
        <is>
          <t>VÄSTMANLANDS LÄN</t>
        </is>
      </c>
      <c r="E87" t="inlineStr">
        <is>
          <t>ARBOGA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38066-2021</t>
        </is>
      </c>
      <c r="B88" s="1" t="n">
        <v>44404</v>
      </c>
      <c r="C88" s="1" t="n">
        <v>46197</v>
      </c>
      <c r="D88" t="inlineStr">
        <is>
          <t>VÄSTMANLANDS LÄN</t>
        </is>
      </c>
      <c r="E88" t="inlineStr">
        <is>
          <t>ARBOGA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63357-2025</t>
        </is>
      </c>
      <c r="B89" s="1" t="n">
        <v>46010</v>
      </c>
      <c r="C89" s="1" t="n">
        <v>46197</v>
      </c>
      <c r="D89" t="inlineStr">
        <is>
          <t>VÄSTMANLANDS LÄN</t>
        </is>
      </c>
      <c r="E89" t="inlineStr">
        <is>
          <t>ARBOGA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21984-2023</t>
        </is>
      </c>
      <c r="B90" s="1" t="n">
        <v>45068</v>
      </c>
      <c r="C90" s="1" t="n">
        <v>46197</v>
      </c>
      <c r="D90" t="inlineStr">
        <is>
          <t>VÄSTMANLANDS LÄN</t>
        </is>
      </c>
      <c r="E90" t="inlineStr">
        <is>
          <t>ARBOGA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61892-2022</t>
        </is>
      </c>
      <c r="B91" s="1" t="n">
        <v>44917</v>
      </c>
      <c r="C91" s="1" t="n">
        <v>46197</v>
      </c>
      <c r="D91" t="inlineStr">
        <is>
          <t>VÄSTMANLANDS LÄN</t>
        </is>
      </c>
      <c r="E91" t="inlineStr">
        <is>
          <t>ARBOGA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993-2026</t>
        </is>
      </c>
      <c r="B92" s="1" t="n">
        <v>46030</v>
      </c>
      <c r="C92" s="1" t="n">
        <v>46197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1012-2026</t>
        </is>
      </c>
      <c r="B93" s="1" t="n">
        <v>46030</v>
      </c>
      <c r="C93" s="1" t="n">
        <v>46197</v>
      </c>
      <c r="D93" t="inlineStr">
        <is>
          <t>VÄSTMANLANDS LÄN</t>
        </is>
      </c>
      <c r="E93" t="inlineStr">
        <is>
          <t>ARBOGA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26633-2023</t>
        </is>
      </c>
      <c r="B94" s="1" t="n">
        <v>45092</v>
      </c>
      <c r="C94" s="1" t="n">
        <v>46197</v>
      </c>
      <c r="D94" t="inlineStr">
        <is>
          <t>VÄSTMANLANDS LÄN</t>
        </is>
      </c>
      <c r="E94" t="inlineStr">
        <is>
          <t>ARBOGA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15406-2026</t>
        </is>
      </c>
      <c r="B95" s="1" t="n">
        <v>46106</v>
      </c>
      <c r="C95" s="1" t="n">
        <v>46197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61394-2023</t>
        </is>
      </c>
      <c r="B96" s="1" t="n">
        <v>45264</v>
      </c>
      <c r="C96" s="1" t="n">
        <v>46197</v>
      </c>
      <c r="D96" t="inlineStr">
        <is>
          <t>VÄSTMANLANDS LÄN</t>
        </is>
      </c>
      <c r="E96" t="inlineStr">
        <is>
          <t>ARBOGA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15569-2025</t>
        </is>
      </c>
      <c r="B97" s="1" t="n">
        <v>45747</v>
      </c>
      <c r="C97" s="1" t="n">
        <v>46197</v>
      </c>
      <c r="D97" t="inlineStr">
        <is>
          <t>VÄSTMANLANDS LÄN</t>
        </is>
      </c>
      <c r="E97" t="inlineStr">
        <is>
          <t>ARBOGA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59969-2022</t>
        </is>
      </c>
      <c r="B98" s="1" t="n">
        <v>44909</v>
      </c>
      <c r="C98" s="1" t="n">
        <v>46197</v>
      </c>
      <c r="D98" t="inlineStr">
        <is>
          <t>VÄSTMANLANDS LÄN</t>
        </is>
      </c>
      <c r="E98" t="inlineStr">
        <is>
          <t>ARBOGA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59980-2022</t>
        </is>
      </c>
      <c r="B99" s="1" t="n">
        <v>44909</v>
      </c>
      <c r="C99" s="1" t="n">
        <v>46197</v>
      </c>
      <c r="D99" t="inlineStr">
        <is>
          <t>VÄSTMANLANDS LÄN</t>
        </is>
      </c>
      <c r="E99" t="inlineStr">
        <is>
          <t>ARBOGA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23046-2026</t>
        </is>
      </c>
      <c r="B100" s="1" t="n">
        <v>46161</v>
      </c>
      <c r="C100" s="1" t="n">
        <v>46197</v>
      </c>
      <c r="D100" t="inlineStr">
        <is>
          <t>VÄSTMANLANDS LÄN</t>
        </is>
      </c>
      <c r="E100" t="inlineStr">
        <is>
          <t>ARBOGA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23048-2026</t>
        </is>
      </c>
      <c r="B101" s="1" t="n">
        <v>46161</v>
      </c>
      <c r="C101" s="1" t="n">
        <v>46197</v>
      </c>
      <c r="D101" t="inlineStr">
        <is>
          <t>VÄSTMANLANDS LÄN</t>
        </is>
      </c>
      <c r="E101" t="inlineStr">
        <is>
          <t>ARBOGA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29999-2023</t>
        </is>
      </c>
      <c r="B102" s="1" t="n">
        <v>45109</v>
      </c>
      <c r="C102" s="1" t="n">
        <v>46197</v>
      </c>
      <c r="D102" t="inlineStr">
        <is>
          <t>VÄSTMANLANDS LÄN</t>
        </is>
      </c>
      <c r="E102" t="inlineStr">
        <is>
          <t>ARBOGA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11696-2023</t>
        </is>
      </c>
      <c r="B103" s="1" t="n">
        <v>44994</v>
      </c>
      <c r="C103" s="1" t="n">
        <v>46197</v>
      </c>
      <c r="D103" t="inlineStr">
        <is>
          <t>VÄSTMANLANDS LÄN</t>
        </is>
      </c>
      <c r="E103" t="inlineStr">
        <is>
          <t>ARBOGA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17783-2026</t>
        </is>
      </c>
      <c r="B104" s="1" t="n">
        <v>46122</v>
      </c>
      <c r="C104" s="1" t="n">
        <v>46197</v>
      </c>
      <c r="D104" t="inlineStr">
        <is>
          <t>VÄSTMANLANDS LÄN</t>
        </is>
      </c>
      <c r="E104" t="inlineStr">
        <is>
          <t>ARBOGA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16576-2024</t>
        </is>
      </c>
      <c r="B105" s="1" t="n">
        <v>45408</v>
      </c>
      <c r="C105" s="1" t="n">
        <v>46197</v>
      </c>
      <c r="D105" t="inlineStr">
        <is>
          <t>VÄSTMANLANDS LÄN</t>
        </is>
      </c>
      <c r="E105" t="inlineStr">
        <is>
          <t>ARBOGA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24353-2026</t>
        </is>
      </c>
      <c r="B106" s="1" t="n">
        <v>46169</v>
      </c>
      <c r="C106" s="1" t="n">
        <v>46197</v>
      </c>
      <c r="D106" t="inlineStr">
        <is>
          <t>VÄSTMANLANDS LÄN</t>
        </is>
      </c>
      <c r="E106" t="inlineStr">
        <is>
          <t>ARBOGA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14420-2023</t>
        </is>
      </c>
      <c r="B107" s="1" t="n">
        <v>45012</v>
      </c>
      <c r="C107" s="1" t="n">
        <v>46197</v>
      </c>
      <c r="D107" t="inlineStr">
        <is>
          <t>VÄSTMANLANDS LÄN</t>
        </is>
      </c>
      <c r="E107" t="inlineStr">
        <is>
          <t>ARBOGA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24360-2026</t>
        </is>
      </c>
      <c r="B108" s="1" t="n">
        <v>46169</v>
      </c>
      <c r="C108" s="1" t="n">
        <v>46197</v>
      </c>
      <c r="D108" t="inlineStr">
        <is>
          <t>VÄSTMANLANDS LÄN</t>
        </is>
      </c>
      <c r="E108" t="inlineStr">
        <is>
          <t>ARBOGA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61320-2023</t>
        </is>
      </c>
      <c r="B109" s="1" t="n">
        <v>45264</v>
      </c>
      <c r="C109" s="1" t="n">
        <v>46197</v>
      </c>
      <c r="D109" t="inlineStr">
        <is>
          <t>VÄSTMANLANDS LÄN</t>
        </is>
      </c>
      <c r="E109" t="inlineStr">
        <is>
          <t>ARBOGA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24349-2026</t>
        </is>
      </c>
      <c r="B110" s="1" t="n">
        <v>46169</v>
      </c>
      <c r="C110" s="1" t="n">
        <v>46197</v>
      </c>
      <c r="D110" t="inlineStr">
        <is>
          <t>VÄSTMANLANDS LÄN</t>
        </is>
      </c>
      <c r="E110" t="inlineStr">
        <is>
          <t>ARBOGA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24344-2026</t>
        </is>
      </c>
      <c r="B111" s="1" t="n">
        <v>46169</v>
      </c>
      <c r="C111" s="1" t="n">
        <v>46197</v>
      </c>
      <c r="D111" t="inlineStr">
        <is>
          <t>VÄSTMANLANDS LÄN</t>
        </is>
      </c>
      <c r="E111" t="inlineStr">
        <is>
          <t>ARBOGA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24334-2026</t>
        </is>
      </c>
      <c r="B112" s="1" t="n">
        <v>46169</v>
      </c>
      <c r="C112" s="1" t="n">
        <v>46197</v>
      </c>
      <c r="D112" t="inlineStr">
        <is>
          <t>VÄSTMANLANDS LÄN</t>
        </is>
      </c>
      <c r="E112" t="inlineStr">
        <is>
          <t>ARBOGA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22785-2026</t>
        </is>
      </c>
      <c r="B113" s="1" t="n">
        <v>46157</v>
      </c>
      <c r="C113" s="1" t="n">
        <v>46197</v>
      </c>
      <c r="D113" t="inlineStr">
        <is>
          <t>VÄSTMANLANDS LÄN</t>
        </is>
      </c>
      <c r="E113" t="inlineStr">
        <is>
          <t>ARBOGA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22784-2026</t>
        </is>
      </c>
      <c r="B114" s="1" t="n">
        <v>46157</v>
      </c>
      <c r="C114" s="1" t="n">
        <v>46197</v>
      </c>
      <c r="D114" t="inlineStr">
        <is>
          <t>VÄSTMANLANDS LÄN</t>
        </is>
      </c>
      <c r="E114" t="inlineStr">
        <is>
          <t>ARBOGA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18827-2026</t>
        </is>
      </c>
      <c r="B115" s="1" t="n">
        <v>46128</v>
      </c>
      <c r="C115" s="1" t="n">
        <v>46197</v>
      </c>
      <c r="D115" t="inlineStr">
        <is>
          <t>VÄSTMANLANDS LÄN</t>
        </is>
      </c>
      <c r="E115" t="inlineStr">
        <is>
          <t>ARBOGA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65748-2021</t>
        </is>
      </c>
      <c r="B116" s="1" t="n">
        <v>44516</v>
      </c>
      <c r="C116" s="1" t="n">
        <v>46197</v>
      </c>
      <c r="D116" t="inlineStr">
        <is>
          <t>VÄSTMANLANDS LÄN</t>
        </is>
      </c>
      <c r="E116" t="inlineStr">
        <is>
          <t>ARBOGA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22787-2026</t>
        </is>
      </c>
      <c r="B117" s="1" t="n">
        <v>46157</v>
      </c>
      <c r="C117" s="1" t="n">
        <v>46197</v>
      </c>
      <c r="D117" t="inlineStr">
        <is>
          <t>VÄSTMANLANDS LÄN</t>
        </is>
      </c>
      <c r="E117" t="inlineStr">
        <is>
          <t>ARBOGA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19092-2026</t>
        </is>
      </c>
      <c r="B118" s="1" t="n">
        <v>46132</v>
      </c>
      <c r="C118" s="1" t="n">
        <v>46197</v>
      </c>
      <c r="D118" t="inlineStr">
        <is>
          <t>VÄSTMANLANDS LÄN</t>
        </is>
      </c>
      <c r="E118" t="inlineStr">
        <is>
          <t>ARBOGA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19387-2024</t>
        </is>
      </c>
      <c r="B119" s="1" t="n">
        <v>45429</v>
      </c>
      <c r="C119" s="1" t="n">
        <v>46197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6698-2022</t>
        </is>
      </c>
      <c r="B120" s="1" t="n">
        <v>44602</v>
      </c>
      <c r="C120" s="1" t="n">
        <v>46197</v>
      </c>
      <c r="D120" t="inlineStr">
        <is>
          <t>VÄSTMANLANDS LÄN</t>
        </is>
      </c>
      <c r="E120" t="inlineStr">
        <is>
          <t>ARBOGA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14057-2025</t>
        </is>
      </c>
      <c r="B121" s="1" t="n">
        <v>45740</v>
      </c>
      <c r="C121" s="1" t="n">
        <v>46197</v>
      </c>
      <c r="D121" t="inlineStr">
        <is>
          <t>VÄSTMANLANDS LÄN</t>
        </is>
      </c>
      <c r="E121" t="inlineStr">
        <is>
          <t>ARBOGA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2690-2025</t>
        </is>
      </c>
      <c r="B122" s="1" t="n">
        <v>45677</v>
      </c>
      <c r="C122" s="1" t="n">
        <v>46197</v>
      </c>
      <c r="D122" t="inlineStr">
        <is>
          <t>VÄSTMANLANDS LÄN</t>
        </is>
      </c>
      <c r="E122" t="inlineStr">
        <is>
          <t>ARBOGA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42045-2022</t>
        </is>
      </c>
      <c r="B123" s="1" t="n">
        <v>44830</v>
      </c>
      <c r="C123" s="1" t="n">
        <v>46197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17708-2025</t>
        </is>
      </c>
      <c r="B124" s="1" t="n">
        <v>45758</v>
      </c>
      <c r="C124" s="1" t="n">
        <v>46197</v>
      </c>
      <c r="D124" t="inlineStr">
        <is>
          <t>VÄSTMANLANDS LÄN</t>
        </is>
      </c>
      <c r="E124" t="inlineStr">
        <is>
          <t>ARBOGA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14406-2025</t>
        </is>
      </c>
      <c r="B125" s="1" t="n">
        <v>45741</v>
      </c>
      <c r="C125" s="1" t="n">
        <v>46197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52433-2024</t>
        </is>
      </c>
      <c r="B126" s="1" t="n">
        <v>45608</v>
      </c>
      <c r="C126" s="1" t="n">
        <v>46197</v>
      </c>
      <c r="D126" t="inlineStr">
        <is>
          <t>VÄSTMANLANDS LÄN</t>
        </is>
      </c>
      <c r="E126" t="inlineStr">
        <is>
          <t>ARBOGA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7786-2025</t>
        </is>
      </c>
      <c r="B127" s="1" t="n">
        <v>45706</v>
      </c>
      <c r="C127" s="1" t="n">
        <v>46197</v>
      </c>
      <c r="D127" t="inlineStr">
        <is>
          <t>VÄSTMANLANDS LÄN</t>
        </is>
      </c>
      <c r="E127" t="inlineStr">
        <is>
          <t>ARBOGA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26130-2026</t>
        </is>
      </c>
      <c r="B128" s="1" t="n">
        <v>46177</v>
      </c>
      <c r="C128" s="1" t="n">
        <v>46197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22735-2025</t>
        </is>
      </c>
      <c r="B129" s="1" t="n">
        <v>45789</v>
      </c>
      <c r="C129" s="1" t="n">
        <v>46197</v>
      </c>
      <c r="D129" t="inlineStr">
        <is>
          <t>VÄSTMANLANDS LÄN</t>
        </is>
      </c>
      <c r="E129" t="inlineStr">
        <is>
          <t>ARBOGA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16178-2022</t>
        </is>
      </c>
      <c r="B130" s="1" t="n">
        <v>44668</v>
      </c>
      <c r="C130" s="1" t="n">
        <v>46197</v>
      </c>
      <c r="D130" t="inlineStr">
        <is>
          <t>VÄSTMANLANDS LÄN</t>
        </is>
      </c>
      <c r="E130" t="inlineStr">
        <is>
          <t>ARBOGA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39780-2023</t>
        </is>
      </c>
      <c r="B131" s="1" t="n">
        <v>45167</v>
      </c>
      <c r="C131" s="1" t="n">
        <v>46197</v>
      </c>
      <c r="D131" t="inlineStr">
        <is>
          <t>VÄSTMANLANDS LÄN</t>
        </is>
      </c>
      <c r="E131" t="inlineStr">
        <is>
          <t>ARBOGA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26103-2026</t>
        </is>
      </c>
      <c r="B132" s="1" t="n">
        <v>46177</v>
      </c>
      <c r="C132" s="1" t="n">
        <v>46197</v>
      </c>
      <c r="D132" t="inlineStr">
        <is>
          <t>VÄSTMANLANDS LÄN</t>
        </is>
      </c>
      <c r="E132" t="inlineStr">
        <is>
          <t>ARBOGA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15487-2022</t>
        </is>
      </c>
      <c r="B133" s="1" t="n">
        <v>44662</v>
      </c>
      <c r="C133" s="1" t="n">
        <v>46197</v>
      </c>
      <c r="D133" t="inlineStr">
        <is>
          <t>VÄSTMANLANDS LÄN</t>
        </is>
      </c>
      <c r="E133" t="inlineStr">
        <is>
          <t>ARBOGA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26134-2026</t>
        </is>
      </c>
      <c r="B134" s="1" t="n">
        <v>46177</v>
      </c>
      <c r="C134" s="1" t="n">
        <v>46197</v>
      </c>
      <c r="D134" t="inlineStr">
        <is>
          <t>VÄSTMANLANDS LÄN</t>
        </is>
      </c>
      <c r="E134" t="inlineStr">
        <is>
          <t>ARBOGA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26136-2026</t>
        </is>
      </c>
      <c r="B135" s="1" t="n">
        <v>46177</v>
      </c>
      <c r="C135" s="1" t="n">
        <v>46197</v>
      </c>
      <c r="D135" t="inlineStr">
        <is>
          <t>VÄSTMANLANDS LÄN</t>
        </is>
      </c>
      <c r="E135" t="inlineStr">
        <is>
          <t>ARBOGA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60046-2022</t>
        </is>
      </c>
      <c r="B136" s="1" t="n">
        <v>44909</v>
      </c>
      <c r="C136" s="1" t="n">
        <v>46197</v>
      </c>
      <c r="D136" t="inlineStr">
        <is>
          <t>VÄSTMANLANDS LÄN</t>
        </is>
      </c>
      <c r="E136" t="inlineStr">
        <is>
          <t>ARBOGA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46197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42379-2021</t>
        </is>
      </c>
      <c r="B138" s="1" t="n">
        <v>44427</v>
      </c>
      <c r="C138" s="1" t="n">
        <v>46197</v>
      </c>
      <c r="D138" t="inlineStr">
        <is>
          <t>VÄSTMANLANDS LÄN</t>
        </is>
      </c>
      <c r="E138" t="inlineStr">
        <is>
          <t>ARBOGA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29573-2022</t>
        </is>
      </c>
      <c r="B139" s="1" t="n">
        <v>44754</v>
      </c>
      <c r="C139" s="1" t="n">
        <v>46197</v>
      </c>
      <c r="D139" t="inlineStr">
        <is>
          <t>VÄSTMANLANDS LÄN</t>
        </is>
      </c>
      <c r="E139" t="inlineStr">
        <is>
          <t>ARBOGA</t>
        </is>
      </c>
      <c r="F139" t="inlineStr">
        <is>
          <t>Kyrkan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26302-2026</t>
        </is>
      </c>
      <c r="B140" s="1" t="n">
        <v>46181</v>
      </c>
      <c r="C140" s="1" t="n">
        <v>46197</v>
      </c>
      <c r="D140" t="inlineStr">
        <is>
          <t>VÄSTMANLANDS LÄN</t>
        </is>
      </c>
      <c r="E140" t="inlineStr">
        <is>
          <t>ARBOGA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53629-2023</t>
        </is>
      </c>
      <c r="B141" s="1" t="n">
        <v>45230</v>
      </c>
      <c r="C141" s="1" t="n">
        <v>46197</v>
      </c>
      <c r="D141" t="inlineStr">
        <is>
          <t>VÄSTMANLANDS LÄN</t>
        </is>
      </c>
      <c r="E141" t="inlineStr">
        <is>
          <t>ARBOGA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15711-2022</t>
        </is>
      </c>
      <c r="B142" s="1" t="n">
        <v>44663</v>
      </c>
      <c r="C142" s="1" t="n">
        <v>46197</v>
      </c>
      <c r="D142" t="inlineStr">
        <is>
          <t>VÄSTMANLANDS LÄN</t>
        </is>
      </c>
      <c r="E142" t="inlineStr">
        <is>
          <t>ARBOGA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61300-2023</t>
        </is>
      </c>
      <c r="B143" s="1" t="n">
        <v>45264</v>
      </c>
      <c r="C143" s="1" t="n">
        <v>46197</v>
      </c>
      <c r="D143" t="inlineStr">
        <is>
          <t>VÄSTMANLANDS LÄN</t>
        </is>
      </c>
      <c r="E143" t="inlineStr">
        <is>
          <t>ARBOGA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61328-2023</t>
        </is>
      </c>
      <c r="B144" s="1" t="n">
        <v>45264</v>
      </c>
      <c r="C144" s="1" t="n">
        <v>46197</v>
      </c>
      <c r="D144" t="inlineStr">
        <is>
          <t>VÄSTMANLANDS LÄN</t>
        </is>
      </c>
      <c r="E144" t="inlineStr">
        <is>
          <t>ARBOGA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32224-2022</t>
        </is>
      </c>
      <c r="B145" s="1" t="n">
        <v>44781</v>
      </c>
      <c r="C145" s="1" t="n">
        <v>46197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22697-2024</t>
        </is>
      </c>
      <c r="B146" s="1" t="n">
        <v>45448</v>
      </c>
      <c r="C146" s="1" t="n">
        <v>46197</v>
      </c>
      <c r="D146" t="inlineStr">
        <is>
          <t>VÄSTMANLANDS LÄN</t>
        </is>
      </c>
      <c r="E146" t="inlineStr">
        <is>
          <t>ARBOGA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22290-2026</t>
        </is>
      </c>
      <c r="B147" s="1" t="n">
        <v>46154</v>
      </c>
      <c r="C147" s="1" t="n">
        <v>46197</v>
      </c>
      <c r="D147" t="inlineStr">
        <is>
          <t>VÄSTMANLANDS LÄN</t>
        </is>
      </c>
      <c r="E147" t="inlineStr">
        <is>
          <t>ARBOGA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28033-2026</t>
        </is>
      </c>
      <c r="B148" s="1" t="n">
        <v>46195</v>
      </c>
      <c r="C148" s="1" t="n">
        <v>46197</v>
      </c>
      <c r="D148" t="inlineStr">
        <is>
          <t>VÄSTMANLANDS LÄN</t>
        </is>
      </c>
      <c r="E148" t="inlineStr">
        <is>
          <t>ARBOGA</t>
        </is>
      </c>
      <c r="F148" t="inlineStr">
        <is>
          <t>Kyrkan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22392-2026</t>
        </is>
      </c>
      <c r="B149" s="1" t="n">
        <v>46154</v>
      </c>
      <c r="C149" s="1" t="n">
        <v>46197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42279-2021</t>
        </is>
      </c>
      <c r="B150" s="1" t="n">
        <v>44427</v>
      </c>
      <c r="C150" s="1" t="n">
        <v>46197</v>
      </c>
      <c r="D150" t="inlineStr">
        <is>
          <t>VÄSTMANLANDS LÄN</t>
        </is>
      </c>
      <c r="E150" t="inlineStr">
        <is>
          <t>ARBOGA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22355-2026</t>
        </is>
      </c>
      <c r="B151" s="1" t="n">
        <v>46154</v>
      </c>
      <c r="C151" s="1" t="n">
        <v>46197</v>
      </c>
      <c r="D151" t="inlineStr">
        <is>
          <t>VÄSTMANLANDS LÄN</t>
        </is>
      </c>
      <c r="E151" t="inlineStr">
        <is>
          <t>ARBOGA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8818-2023</t>
        </is>
      </c>
      <c r="B152" s="1" t="n">
        <v>44978</v>
      </c>
      <c r="C152" s="1" t="n">
        <v>46197</v>
      </c>
      <c r="D152" t="inlineStr">
        <is>
          <t>VÄSTMANLANDS LÄN</t>
        </is>
      </c>
      <c r="E152" t="inlineStr">
        <is>
          <t>ARBOGA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33809-2022</t>
        </is>
      </c>
      <c r="B153" s="1" t="n">
        <v>44790</v>
      </c>
      <c r="C153" s="1" t="n">
        <v>46197</v>
      </c>
      <c r="D153" t="inlineStr">
        <is>
          <t>VÄSTMANLANDS LÄN</t>
        </is>
      </c>
      <c r="E153" t="inlineStr">
        <is>
          <t>ARBOGA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53284-2024</t>
        </is>
      </c>
      <c r="B154" s="1" t="n">
        <v>45614</v>
      </c>
      <c r="C154" s="1" t="n">
        <v>46197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48659-2024</t>
        </is>
      </c>
      <c r="B155" s="1" t="n">
        <v>45593</v>
      </c>
      <c r="C155" s="1" t="n">
        <v>46197</v>
      </c>
      <c r="D155" t="inlineStr">
        <is>
          <t>VÄSTMANLANDS LÄN</t>
        </is>
      </c>
      <c r="E155" t="inlineStr">
        <is>
          <t>ARBOGA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11744-2022</t>
        </is>
      </c>
      <c r="B156" s="1" t="n">
        <v>44634</v>
      </c>
      <c r="C156" s="1" t="n">
        <v>46197</v>
      </c>
      <c r="D156" t="inlineStr">
        <is>
          <t>VÄSTMANLANDS LÄN</t>
        </is>
      </c>
      <c r="E156" t="inlineStr">
        <is>
          <t>ARBOGA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54094-2023</t>
        </is>
      </c>
      <c r="B157" s="1" t="n">
        <v>45232</v>
      </c>
      <c r="C157" s="1" t="n">
        <v>46197</v>
      </c>
      <c r="D157" t="inlineStr">
        <is>
          <t>VÄSTMANLANDS LÄN</t>
        </is>
      </c>
      <c r="E157" t="inlineStr">
        <is>
          <t>ARBOGA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53903-2024</t>
        </is>
      </c>
      <c r="B158" s="1" t="n">
        <v>45615</v>
      </c>
      <c r="C158" s="1" t="n">
        <v>46197</v>
      </c>
      <c r="D158" t="inlineStr">
        <is>
          <t>VÄSTMANLANDS LÄN</t>
        </is>
      </c>
      <c r="E158" t="inlineStr">
        <is>
          <t>ARBOGA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5459-2023</t>
        </is>
      </c>
      <c r="B159" s="1" t="n">
        <v>44960</v>
      </c>
      <c r="C159" s="1" t="n">
        <v>46197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59715-2021</t>
        </is>
      </c>
      <c r="B160" s="1" t="n">
        <v>44494</v>
      </c>
      <c r="C160" s="1" t="n">
        <v>46197</v>
      </c>
      <c r="D160" t="inlineStr">
        <is>
          <t>VÄSTMANLANDS LÄN</t>
        </is>
      </c>
      <c r="E160" t="inlineStr">
        <is>
          <t>ARBOGA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5243-2025</t>
        </is>
      </c>
      <c r="B161" s="1" t="n">
        <v>45692</v>
      </c>
      <c r="C161" s="1" t="n">
        <v>46197</v>
      </c>
      <c r="D161" t="inlineStr">
        <is>
          <t>VÄSTMANLANDS LÄN</t>
        </is>
      </c>
      <c r="E161" t="inlineStr">
        <is>
          <t>ARBOGA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35312-2023</t>
        </is>
      </c>
      <c r="B162" s="1" t="n">
        <v>45145</v>
      </c>
      <c r="C162" s="1" t="n">
        <v>46197</v>
      </c>
      <c r="D162" t="inlineStr">
        <is>
          <t>VÄSTMANLANDS LÄN</t>
        </is>
      </c>
      <c r="E162" t="inlineStr">
        <is>
          <t>ARBOGA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3229-2025</t>
        </is>
      </c>
      <c r="B163" s="1" t="n">
        <v>45679</v>
      </c>
      <c r="C163" s="1" t="n">
        <v>46197</v>
      </c>
      <c r="D163" t="inlineStr">
        <is>
          <t>VÄSTMANLANDS LÄN</t>
        </is>
      </c>
      <c r="E163" t="inlineStr">
        <is>
          <t>ARBOGA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10286-2022</t>
        </is>
      </c>
      <c r="B164" s="1" t="n">
        <v>44622</v>
      </c>
      <c r="C164" s="1" t="n">
        <v>46197</v>
      </c>
      <c r="D164" t="inlineStr">
        <is>
          <t>VÄSTMANLANDS LÄN</t>
        </is>
      </c>
      <c r="E164" t="inlineStr">
        <is>
          <t>ARBOGA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24083-2024</t>
        </is>
      </c>
      <c r="B165" s="1" t="n">
        <v>45456</v>
      </c>
      <c r="C165" s="1" t="n">
        <v>46197</v>
      </c>
      <c r="D165" t="inlineStr">
        <is>
          <t>VÄSTMANLANDS LÄN</t>
        </is>
      </c>
      <c r="E165" t="inlineStr">
        <is>
          <t>ARBOGA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20067-2024</t>
        </is>
      </c>
      <c r="B166" s="1" t="n">
        <v>45434</v>
      </c>
      <c r="C166" s="1" t="n">
        <v>46197</v>
      </c>
      <c r="D166" t="inlineStr">
        <is>
          <t>VÄSTMANLANDS LÄN</t>
        </is>
      </c>
      <c r="E166" t="inlineStr">
        <is>
          <t>ARBOGA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6518-2025</t>
        </is>
      </c>
      <c r="B167" s="1" t="n">
        <v>45699</v>
      </c>
      <c r="C167" s="1" t="n">
        <v>46197</v>
      </c>
      <c r="D167" t="inlineStr">
        <is>
          <t>VÄSTMANLANDS LÄN</t>
        </is>
      </c>
      <c r="E167" t="inlineStr">
        <is>
          <t>ARBOGA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49005-2023</t>
        </is>
      </c>
      <c r="B168" s="1" t="n">
        <v>45209</v>
      </c>
      <c r="C168" s="1" t="n">
        <v>46197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10617-2023</t>
        </is>
      </c>
      <c r="B169" s="1" t="n">
        <v>44988</v>
      </c>
      <c r="C169" s="1" t="n">
        <v>46197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45492-2023</t>
        </is>
      </c>
      <c r="B170" s="1" t="n">
        <v>45194</v>
      </c>
      <c r="C170" s="1" t="n">
        <v>46197</v>
      </c>
      <c r="D170" t="inlineStr">
        <is>
          <t>VÄSTMANLANDS LÄN</t>
        </is>
      </c>
      <c r="E170" t="inlineStr">
        <is>
          <t>ARBOGA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10679-2024</t>
        </is>
      </c>
      <c r="B171" s="1" t="n">
        <v>45368</v>
      </c>
      <c r="C171" s="1" t="n">
        <v>46197</v>
      </c>
      <c r="D171" t="inlineStr">
        <is>
          <t>VÄSTMANLANDS LÄN</t>
        </is>
      </c>
      <c r="E171" t="inlineStr">
        <is>
          <t>ARBOGA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69168-2021</t>
        </is>
      </c>
      <c r="B172" s="1" t="n">
        <v>44530</v>
      </c>
      <c r="C172" s="1" t="n">
        <v>46197</v>
      </c>
      <c r="D172" t="inlineStr">
        <is>
          <t>VÄSTMANLANDS LÄN</t>
        </is>
      </c>
      <c r="E172" t="inlineStr">
        <is>
          <t>ARBOGA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9238-2025</t>
        </is>
      </c>
      <c r="B173" s="1" t="n">
        <v>45714</v>
      </c>
      <c r="C173" s="1" t="n">
        <v>46197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37601-2023</t>
        </is>
      </c>
      <c r="B174" s="1" t="n">
        <v>45159</v>
      </c>
      <c r="C174" s="1" t="n">
        <v>46197</v>
      </c>
      <c r="D174" t="inlineStr">
        <is>
          <t>VÄSTMANLANDS LÄN</t>
        </is>
      </c>
      <c r="E174" t="inlineStr">
        <is>
          <t>ARBOGA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6493-2025</t>
        </is>
      </c>
      <c r="B175" s="1" t="n">
        <v>45699</v>
      </c>
      <c r="C175" s="1" t="n">
        <v>46197</v>
      </c>
      <c r="D175" t="inlineStr">
        <is>
          <t>VÄSTMANLANDS LÄN</t>
        </is>
      </c>
      <c r="E175" t="inlineStr">
        <is>
          <t>ARBOGA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5752-2025</t>
        </is>
      </c>
      <c r="B176" s="1" t="n">
        <v>45694</v>
      </c>
      <c r="C176" s="1" t="n">
        <v>46197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59270-2023</t>
        </is>
      </c>
      <c r="B177" s="1" t="n">
        <v>45253</v>
      </c>
      <c r="C177" s="1" t="n">
        <v>46197</v>
      </c>
      <c r="D177" t="inlineStr">
        <is>
          <t>VÄSTMANLANDS LÄN</t>
        </is>
      </c>
      <c r="E177" t="inlineStr">
        <is>
          <t>ARBOGA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54054-2024</t>
        </is>
      </c>
      <c r="B178" s="1" t="n">
        <v>45615</v>
      </c>
      <c r="C178" s="1" t="n">
        <v>46197</v>
      </c>
      <c r="D178" t="inlineStr">
        <is>
          <t>VÄSTMANLANDS LÄN</t>
        </is>
      </c>
      <c r="E178" t="inlineStr">
        <is>
          <t>ARBOGA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14413-2023</t>
        </is>
      </c>
      <c r="B179" s="1" t="n">
        <v>45012</v>
      </c>
      <c r="C179" s="1" t="n">
        <v>46197</v>
      </c>
      <c r="D179" t="inlineStr">
        <is>
          <t>VÄSTMANLANDS LÄN</t>
        </is>
      </c>
      <c r="E179" t="inlineStr">
        <is>
          <t>ARBOGA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57256-2024</t>
        </is>
      </c>
      <c r="B180" s="1" t="n">
        <v>45629</v>
      </c>
      <c r="C180" s="1" t="n">
        <v>46197</v>
      </c>
      <c r="D180" t="inlineStr">
        <is>
          <t>VÄSTMANLANDS LÄN</t>
        </is>
      </c>
      <c r="E180" t="inlineStr">
        <is>
          <t>ARBOGA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58241-2024</t>
        </is>
      </c>
      <c r="B181" s="1" t="n">
        <v>45632</v>
      </c>
      <c r="C181" s="1" t="n">
        <v>46197</v>
      </c>
      <c r="D181" t="inlineStr">
        <is>
          <t>VÄSTMANLANDS LÄN</t>
        </is>
      </c>
      <c r="E181" t="inlineStr">
        <is>
          <t>ARBOGA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65255-2023</t>
        </is>
      </c>
      <c r="B182" s="1" t="n">
        <v>45290</v>
      </c>
      <c r="C182" s="1" t="n">
        <v>46197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6680-2023</t>
        </is>
      </c>
      <c r="B183" s="1" t="n">
        <v>44966</v>
      </c>
      <c r="C183" s="1" t="n">
        <v>46197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47648-2024</t>
        </is>
      </c>
      <c r="B184" s="1" t="n">
        <v>45588</v>
      </c>
      <c r="C184" s="1" t="n">
        <v>46197</v>
      </c>
      <c r="D184" t="inlineStr">
        <is>
          <t>VÄSTMANLANDS LÄN</t>
        </is>
      </c>
      <c r="E184" t="inlineStr">
        <is>
          <t>ARBOGA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494-2025</t>
        </is>
      </c>
      <c r="B185" s="1" t="n">
        <v>45660</v>
      </c>
      <c r="C185" s="1" t="n">
        <v>46197</v>
      </c>
      <c r="D185" t="inlineStr">
        <is>
          <t>VÄSTMANLANDS LÄN</t>
        </is>
      </c>
      <c r="E185" t="inlineStr">
        <is>
          <t>ARBOGA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56977-2024</t>
        </is>
      </c>
      <c r="B186" s="1" t="n">
        <v>45628</v>
      </c>
      <c r="C186" s="1" t="n">
        <v>46197</v>
      </c>
      <c r="D186" t="inlineStr">
        <is>
          <t>VÄSTMANLANDS LÄN</t>
        </is>
      </c>
      <c r="E186" t="inlineStr">
        <is>
          <t>ARBOGA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43602-2023</t>
        </is>
      </c>
      <c r="B187" s="1" t="n">
        <v>45184</v>
      </c>
      <c r="C187" s="1" t="n">
        <v>46197</v>
      </c>
      <c r="D187" t="inlineStr">
        <is>
          <t>VÄSTMANLANDS LÄN</t>
        </is>
      </c>
      <c r="E187" t="inlineStr">
        <is>
          <t>ARBOGA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38788-2024</t>
        </is>
      </c>
      <c r="B188" s="1" t="n">
        <v>45547</v>
      </c>
      <c r="C188" s="1" t="n">
        <v>46197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2026-06-24T00:49:45Z</dcterms:created>
  <dcterms:modified xmlns:dcterms="http://purl.org/dc/terms/" xmlns:xsi="http://www.w3.org/2001/XMLSchema-instance" xsi:type="dcterms:W3CDTF">2026-06-24T00:49:45Z</dcterms:modified>
</cp:coreProperties>
</file>