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46217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46217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46217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46217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46217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Koralltaggsvamp
Fällmossa
Rävticka</t>
        </is>
      </c>
      <c r="V6">
        <f>HYPERLINK("https://klasma.github.io/Logging_1984/artfynd/A 944-2025 artfynd.xlsx", "A 944-2025")</f>
        <v/>
      </c>
      <c r="W6">
        <f>HYPERLINK("https://klasma.github.io/Logging_1984/kartor/A 944-2025 karta.png", "A 944-2025")</f>
        <v/>
      </c>
      <c r="Y6">
        <f>HYPERLINK("https://klasma.github.io/Logging_1984/klagomål/A 944-2025 FSC-klagomål.docx", "A 944-2025")</f>
        <v/>
      </c>
      <c r="Z6">
        <f>HYPERLINK("https://klasma.github.io/Logging_1984/klagomålsmail/A 944-2025 FSC-klagomål mail.docx", "A 944-2025")</f>
        <v/>
      </c>
      <c r="AA6">
        <f>HYPERLINK("https://klasma.github.io/Logging_1984/tillsyn/A 944-2025 tillsynsbegäran.docx", "A 944-2025")</f>
        <v/>
      </c>
      <c r="AB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46217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Blåsippa
Getrams
Humleblomster</t>
        </is>
      </c>
      <c r="V7">
        <f>HYPERLINK("https://klasma.github.io/Logging_1984/artfynd/A 26044-2025 artfynd.xlsx", "A 26044-2025")</f>
        <v/>
      </c>
      <c r="W7">
        <f>HYPERLINK("https://klasma.github.io/Logging_1984/kartor/A 26044-2025 karta.png", "A 26044-2025")</f>
        <v/>
      </c>
      <c r="Y7">
        <f>HYPERLINK("https://klasma.github.io/Logging_1984/klagomål/A 26044-2025 FSC-klagomål.docx", "A 26044-2025")</f>
        <v/>
      </c>
      <c r="Z7">
        <f>HYPERLINK("https://klasma.github.io/Logging_1984/klagomålsmail/A 26044-2025 FSC-klagomål mail.docx", "A 26044-2025")</f>
        <v/>
      </c>
      <c r="AA7">
        <f>HYPERLINK("https://klasma.github.io/Logging_1984/tillsyn/A 26044-2025 tillsynsbegäran.docx", "A 26044-2025")</f>
        <v/>
      </c>
      <c r="AB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46217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Ask
Vanlig padda</t>
        </is>
      </c>
      <c r="V8">
        <f>HYPERLINK("https://klasma.github.io/Logging_1984/artfynd/A 20064-2024 artfynd.xlsx", "A 20064-2024")</f>
        <v/>
      </c>
      <c r="W8">
        <f>HYPERLINK("https://klasma.github.io/Logging_1984/kartor/A 20064-2024 karta.png", "A 20064-2024")</f>
        <v/>
      </c>
      <c r="Y8">
        <f>HYPERLINK("https://klasma.github.io/Logging_1984/klagomål/A 20064-2024 FSC-klagomål.docx", "A 20064-2024")</f>
        <v/>
      </c>
      <c r="Z8">
        <f>HYPERLINK("https://klasma.github.io/Logging_1984/klagomålsmail/A 20064-2024 FSC-klagomål mail.docx", "A 20064-2024")</f>
        <v/>
      </c>
      <c r="AA8">
        <f>HYPERLINK("https://klasma.github.io/Logging_1984/tillsyn/A 20064-2024 tillsynsbegäran.docx", "A 20064-2024")</f>
        <v/>
      </c>
      <c r="AB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46217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Blåsippa
Getrams</t>
        </is>
      </c>
      <c r="V9">
        <f>HYPERLINK("https://klasma.github.io/Logging_1984/artfynd/A 46674-2023 artfynd.xlsx", "A 46674-2023")</f>
        <v/>
      </c>
      <c r="W9">
        <f>HYPERLINK("https://klasma.github.io/Logging_1984/kartor/A 46674-2023 karta.png", "A 46674-2023")</f>
        <v/>
      </c>
      <c r="Y9">
        <f>HYPERLINK("https://klasma.github.io/Logging_1984/klagomål/A 46674-2023 FSC-klagomål.docx", "A 46674-2023")</f>
        <v/>
      </c>
      <c r="Z9">
        <f>HYPERLINK("https://klasma.github.io/Logging_1984/klagomålsmail/A 46674-2023 FSC-klagomål mail.docx", "A 46674-2023")</f>
        <v/>
      </c>
      <c r="AA9">
        <f>HYPERLINK("https://klasma.github.io/Logging_1984/tillsyn/A 46674-2023 tillsynsbegäran.docx", "A 46674-2023")</f>
        <v/>
      </c>
      <c r="AB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46217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26128-2026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46177</v>
      </c>
      <c r="E11" s="1" t="n">
        <v>46217</v>
      </c>
      <c r="F11" t="inlineStr">
        <is>
          <t>VÄSTMANLANDS LÄN</t>
        </is>
      </c>
      <c r="G11" t="inlineStr">
        <is>
          <t>ARBOGA</t>
        </is>
      </c>
      <c r="I11" t="n">
        <v>5.1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Bred kärrtrollslända</t>
        </is>
      </c>
      <c r="V11">
        <f>HYPERLINK("https://klasma.github.io/Logging_1984/artfynd/A 26128-2026 artfynd.xlsx", "A 26128-2026")</f>
        <v/>
      </c>
      <c r="W11">
        <f>HYPERLINK("https://klasma.github.io/Logging_1984/kartor/A 26128-2026 karta.png", "A 26128-2026")</f>
        <v/>
      </c>
      <c r="Y11">
        <f>HYPERLINK("https://klasma.github.io/Logging_1984/klagomål/A 26128-2026 FSC-klagomål.docx", "A 26128-2026")</f>
        <v/>
      </c>
      <c r="Z11">
        <f>HYPERLINK("https://klasma.github.io/Logging_1984/klagomålsmail/A 26128-2026 FSC-klagomål mail.docx", "A 26128-2026")</f>
        <v/>
      </c>
      <c r="AA11">
        <f>HYPERLINK("https://klasma.github.io/Logging_1984/tillsyn/A 26128-2026 tillsynsbegäran.docx", "A 26128-2026")</f>
        <v/>
      </c>
      <c r="AB11">
        <f>HYPERLINK("https://klasma.github.io/Logging_1984/tillsynsmail/A 26128-2026 tillsynsbegäran mail.docx", "A 26128-2026")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46217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Vitsippa</t>
        </is>
      </c>
      <c r="V12">
        <f>HYPERLINK("https://klasma.github.io/Logging_1984/artfynd/A 64461-2021 artfynd.xlsx", "A 64461-2021")</f>
        <v/>
      </c>
      <c r="W12">
        <f>HYPERLINK("https://klasma.github.io/Logging_1984/kartor/A 64461-2021 karta.png", "A 64461-2021")</f>
        <v/>
      </c>
      <c r="Y12">
        <f>HYPERLINK("https://klasma.github.io/Logging_1984/klagomål/A 64461-2021 FSC-klagomål.docx", "A 64461-2021")</f>
        <v/>
      </c>
      <c r="Z12">
        <f>HYPERLINK("https://klasma.github.io/Logging_1984/klagomålsmail/A 64461-2021 FSC-klagomål mail.docx", "A 64461-2021")</f>
        <v/>
      </c>
      <c r="AA12">
        <f>HYPERLINK("https://klasma.github.io/Logging_1984/tillsyn/A 64461-2021 tillsynsbegäran.docx", "A 64461-2021")</f>
        <v/>
      </c>
      <c r="AB12">
        <f>HYPERLINK("https://klasma.github.io/Logging_1984/tillsynsmail/A 64461-2021 tillsynsbegäran mail.docx", "A 64461-2021")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46217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Scharlakansskål</t>
        </is>
      </c>
      <c r="V13">
        <f>HYPERLINK("https://klasma.github.io/Logging_1984/artfynd/A 56463-2024 artfynd.xlsx", "A 56463-2024")</f>
        <v/>
      </c>
      <c r="W13">
        <f>HYPERLINK("https://klasma.github.io/Logging_1984/kartor/A 56463-2024 karta.png", "A 56463-2024")</f>
        <v/>
      </c>
      <c r="Y13">
        <f>HYPERLINK("https://klasma.github.io/Logging_1984/klagomål/A 56463-2024 FSC-klagomål.docx", "A 56463-2024")</f>
        <v/>
      </c>
      <c r="Z13">
        <f>HYPERLINK("https://klasma.github.io/Logging_1984/klagomålsmail/A 56463-2024 FSC-klagomål mail.docx", "A 56463-2024")</f>
        <v/>
      </c>
      <c r="AA13">
        <f>HYPERLINK("https://klasma.github.io/Logging_1984/tillsyn/A 56463-2024 tillsynsbegäran.docx", "A 56463-2024")</f>
        <v/>
      </c>
      <c r="AB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46217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46217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46217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46217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46217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46217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46217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46217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46217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46217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46217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46217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46217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46217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46217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46217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46217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46217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46217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46217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46217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46217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6666-2024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45341</v>
      </c>
      <c r="E36" s="1" t="n">
        <v>46217</v>
      </c>
      <c r="F36" t="inlineStr">
        <is>
          <t>VÄSTMANLANDS LÄN</t>
        </is>
      </c>
      <c r="G36" t="inlineStr">
        <is>
          <t>ARBOGA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46217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46217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13121-2024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46217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12405-2024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46217</v>
      </c>
      <c r="F40" t="inlineStr">
        <is>
          <t>VÄSTMANLANDS LÄN</t>
        </is>
      </c>
      <c r="G40" t="inlineStr">
        <is>
          <t>ARBOGA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46217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46217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46217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46217</v>
      </c>
      <c r="F44" t="inlineStr">
        <is>
          <t>VÄSTMANLANDS LÄN</t>
        </is>
      </c>
      <c r="G44" t="inlineStr">
        <is>
          <t>ARBOGA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68237-2021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44526</v>
      </c>
      <c r="E45" s="1" t="n">
        <v>46217</v>
      </c>
      <c r="F45" t="inlineStr">
        <is>
          <t>VÄSTMANLANDS LÄN</t>
        </is>
      </c>
      <c r="G45" t="inlineStr">
        <is>
          <t>ARBOGA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8125-2023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46217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44671</v>
      </c>
      <c r="E47" s="1" t="n">
        <v>46217</v>
      </c>
      <c r="F47" t="inlineStr">
        <is>
          <t>VÄSTMANLANDS LÄN</t>
        </is>
      </c>
      <c r="G47" t="inlineStr">
        <is>
          <t>ARBOGA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6528-2025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46217</v>
      </c>
      <c r="F48" t="inlineStr">
        <is>
          <t>VÄSTMANLANDS LÄN</t>
        </is>
      </c>
      <c r="G48" t="inlineStr">
        <is>
          <t>ARBOGA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41490-2024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45560</v>
      </c>
      <c r="E49" s="1" t="n">
        <v>46217</v>
      </c>
      <c r="F49" t="inlineStr">
        <is>
          <t>VÄSTMANLANDS LÄN</t>
        </is>
      </c>
      <c r="G49" t="inlineStr">
        <is>
          <t>ARBOGA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9247-2024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46217</v>
      </c>
      <c r="F50" t="inlineStr">
        <is>
          <t>VÄSTMANLANDS LÄN</t>
        </is>
      </c>
      <c r="G50" t="inlineStr">
        <is>
          <t>ARBOGA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46217</v>
      </c>
      <c r="F51" t="inlineStr">
        <is>
          <t>VÄSTMANLANDS LÄN</t>
        </is>
      </c>
      <c r="G51" t="inlineStr">
        <is>
          <t>ARBOGA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50007-2021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46217</v>
      </c>
      <c r="F52" t="inlineStr">
        <is>
          <t>VÄSTMANLANDS LÄN</t>
        </is>
      </c>
      <c r="G52" t="inlineStr">
        <is>
          <t>ARBOGA</t>
        </is>
      </c>
      <c r="H52" t="inlineStr">
        <is>
          <t>Allmännings- och besparingsskogar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13595-2023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45006</v>
      </c>
      <c r="E53" s="1" t="n">
        <v>46217</v>
      </c>
      <c r="F53" t="inlineStr">
        <is>
          <t>VÄSTMANLANDS LÄN</t>
        </is>
      </c>
      <c r="G53" t="inlineStr">
        <is>
          <t>ARBOGA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43812-2023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45187</v>
      </c>
      <c r="E54" s="1" t="n">
        <v>46217</v>
      </c>
      <c r="F54" t="inlineStr">
        <is>
          <t>VÄSTMANLANDS LÄN</t>
        </is>
      </c>
      <c r="G54" t="inlineStr">
        <is>
          <t>ARBOGA</t>
        </is>
      </c>
      <c r="H54" t="inlineStr">
        <is>
          <t>Sveaskog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38302-2025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46217</v>
      </c>
      <c r="F55" t="inlineStr">
        <is>
          <t>VÄSTMANLANDS LÄN</t>
        </is>
      </c>
      <c r="G55" t="inlineStr">
        <is>
          <t>ARBOGA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38299-2025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46217</v>
      </c>
      <c r="F56" t="inlineStr">
        <is>
          <t>VÄSTMANLANDS LÄN</t>
        </is>
      </c>
      <c r="G56" t="inlineStr">
        <is>
          <t>ARBOGA</t>
        </is>
      </c>
      <c r="I56" t="n">
        <v>9.199999999999999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61388-2023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46217</v>
      </c>
      <c r="F57" t="inlineStr">
        <is>
          <t>VÄSTMANLANDS LÄN</t>
        </is>
      </c>
      <c r="G57" t="inlineStr">
        <is>
          <t>ARBOGA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14057-2025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46217</v>
      </c>
      <c r="F58" t="inlineStr">
        <is>
          <t>VÄSTMANLANDS LÄN</t>
        </is>
      </c>
      <c r="G58" t="inlineStr">
        <is>
          <t>ARBOGA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59970-2022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44909</v>
      </c>
      <c r="E59" s="1" t="n">
        <v>46217</v>
      </c>
      <c r="F59" t="inlineStr">
        <is>
          <t>VÄSTMANLANDS LÄN</t>
        </is>
      </c>
      <c r="G59" t="inlineStr">
        <is>
          <t>ARBOGA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46217</v>
      </c>
      <c r="F60" t="inlineStr">
        <is>
          <t>VÄSTMANLANDS LÄN</t>
        </is>
      </c>
      <c r="G60" t="inlineStr">
        <is>
          <t>ARBOGA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32275-2024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45512</v>
      </c>
      <c r="E61" s="1" t="n">
        <v>46217</v>
      </c>
      <c r="F61" t="inlineStr">
        <is>
          <t>VÄSTMANLANDS LÄN</t>
        </is>
      </c>
      <c r="G61" t="inlineStr">
        <is>
          <t>ARBOGA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17708-2025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46217</v>
      </c>
      <c r="F62" t="inlineStr">
        <is>
          <t>VÄSTMANLANDS LÄN</t>
        </is>
      </c>
      <c r="G62" t="inlineStr">
        <is>
          <t>ARBOGA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45741</v>
      </c>
      <c r="E63" s="1" t="n">
        <v>46217</v>
      </c>
      <c r="F63" t="inlineStr">
        <is>
          <t>VÄSTMANLANDS LÄN</t>
        </is>
      </c>
      <c r="G63" t="inlineStr">
        <is>
          <t>ARBOGA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45116-2025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46217</v>
      </c>
      <c r="F64" t="inlineStr">
        <is>
          <t>VÄSTMANLANDS LÄN</t>
        </is>
      </c>
      <c r="G64" t="inlineStr">
        <is>
          <t>ARBOGA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45128-2025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46217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45143-2025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46217</v>
      </c>
      <c r="F66" t="inlineStr">
        <is>
          <t>VÄSTMANLANDS LÄN</t>
        </is>
      </c>
      <c r="G66" t="inlineStr">
        <is>
          <t>ARBOGA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45154-2025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46217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26130-2026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46217</v>
      </c>
      <c r="F68" t="inlineStr">
        <is>
          <t>VÄSTMANLANDS LÄN</t>
        </is>
      </c>
      <c r="G68" t="inlineStr">
        <is>
          <t>ARBOGA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22735-2025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46217</v>
      </c>
      <c r="F69" t="inlineStr">
        <is>
          <t>VÄSTMANLANDS LÄN</t>
        </is>
      </c>
      <c r="G69" t="inlineStr">
        <is>
          <t>ARBOGA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46217</v>
      </c>
      <c r="F70" t="inlineStr">
        <is>
          <t>VÄSTMANLANDS LÄN</t>
        </is>
      </c>
      <c r="G70" t="inlineStr">
        <is>
          <t>ARBOGA</t>
        </is>
      </c>
      <c r="H70" t="inlineStr">
        <is>
          <t>Kommuner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45933</v>
      </c>
      <c r="E71" s="1" t="n">
        <v>46217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38785-2021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44410</v>
      </c>
      <c r="E72" s="1" t="n">
        <v>46217</v>
      </c>
      <c r="F72" t="inlineStr">
        <is>
          <t>VÄSTMANLANDS LÄN</t>
        </is>
      </c>
      <c r="G72" t="inlineStr">
        <is>
          <t>ARBOGA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46217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45797-2022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46217</v>
      </c>
      <c r="F74" t="inlineStr">
        <is>
          <t>VÄSTMANLANDS LÄN</t>
        </is>
      </c>
      <c r="G74" t="inlineStr">
        <is>
          <t>ARBOGA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30323-2023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46217</v>
      </c>
      <c r="F75" t="inlineStr">
        <is>
          <t>VÄSTMANLANDS LÄN</t>
        </is>
      </c>
      <c r="G75" t="inlineStr">
        <is>
          <t>ARBOGA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46217</v>
      </c>
      <c r="F76" t="inlineStr">
        <is>
          <t>VÄSTMANLANDS LÄN</t>
        </is>
      </c>
      <c r="G76" t="inlineStr">
        <is>
          <t>ARBOGA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37414-2021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44398</v>
      </c>
      <c r="E77" s="1" t="n">
        <v>46217</v>
      </c>
      <c r="F77" t="inlineStr">
        <is>
          <t>VÄSTMANLANDS LÄN</t>
        </is>
      </c>
      <c r="G77" t="inlineStr">
        <is>
          <t>ARBOGA</t>
        </is>
      </c>
      <c r="H77" t="inlineStr">
        <is>
          <t>Kyrkan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51989-2025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45952</v>
      </c>
      <c r="E78" s="1" t="n">
        <v>46217</v>
      </c>
      <c r="F78" t="inlineStr">
        <is>
          <t>VÄSTMANLANDS LÄN</t>
        </is>
      </c>
      <c r="G78" t="inlineStr">
        <is>
          <t>ARBOGA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26134-2026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46217</v>
      </c>
      <c r="F79" t="inlineStr">
        <is>
          <t>VÄSTMANLANDS LÄN</t>
        </is>
      </c>
      <c r="G79" t="inlineStr">
        <is>
          <t>ARBOGA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26136-2026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46217</v>
      </c>
      <c r="F80" t="inlineStr">
        <is>
          <t>VÄSTMANLANDS LÄN</t>
        </is>
      </c>
      <c r="G80" t="inlineStr">
        <is>
          <t>ARBOGA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54032-2025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45962</v>
      </c>
      <c r="E81" s="1" t="n">
        <v>46217</v>
      </c>
      <c r="F81" t="inlineStr">
        <is>
          <t>VÄSTMANLANDS LÄN</t>
        </is>
      </c>
      <c r="G81" t="inlineStr">
        <is>
          <t>ARBOGA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60046-2022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46217</v>
      </c>
      <c r="F82" t="inlineStr">
        <is>
          <t>VÄSTMANLANDS LÄN</t>
        </is>
      </c>
      <c r="G82" t="inlineStr">
        <is>
          <t>ARBOGA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38066-2021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44404</v>
      </c>
      <c r="E83" s="1" t="n">
        <v>46217</v>
      </c>
      <c r="F83" t="inlineStr">
        <is>
          <t>VÄSTMANLANDS LÄN</t>
        </is>
      </c>
      <c r="G83" t="inlineStr">
        <is>
          <t>ARBOGA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54470-2025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46217</v>
      </c>
      <c r="F84" t="inlineStr">
        <is>
          <t>VÄSTMANLANDS LÄN</t>
        </is>
      </c>
      <c r="G84" t="inlineStr">
        <is>
          <t>ARBOGA</t>
        </is>
      </c>
      <c r="H84" t="inlineStr">
        <is>
          <t>Sveaskog</t>
        </is>
      </c>
      <c r="I84" t="n">
        <v>11.6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46217</v>
      </c>
      <c r="F85" t="inlineStr">
        <is>
          <t>VÄSTMANLANDS LÄN</t>
        </is>
      </c>
      <c r="G85" t="inlineStr">
        <is>
          <t>ARBOGA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61892-2022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46217</v>
      </c>
      <c r="F86" t="inlineStr">
        <is>
          <t>VÄSTMANLANDS LÄN</t>
        </is>
      </c>
      <c r="G86" t="inlineStr">
        <is>
          <t>ARBOGA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46217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46217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26302-2026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46217</v>
      </c>
      <c r="F89" t="inlineStr">
        <is>
          <t>VÄSTMANLANDS LÄN</t>
        </is>
      </c>
      <c r="G89" t="inlineStr">
        <is>
          <t>ARBOGA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58781-2025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46217</v>
      </c>
      <c r="F90" t="inlineStr">
        <is>
          <t>VÄSTMANLANDS LÄN</t>
        </is>
      </c>
      <c r="G90" t="inlineStr">
        <is>
          <t>ARBOGA</t>
        </is>
      </c>
      <c r="H90" t="inlineStr">
        <is>
          <t>Kyrkan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58194-2025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45983</v>
      </c>
      <c r="E91" s="1" t="n">
        <v>46217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45983</v>
      </c>
      <c r="E92" s="1" t="n">
        <v>46217</v>
      </c>
      <c r="F92" t="inlineStr">
        <is>
          <t>VÄSTMANLANDS LÄN</t>
        </is>
      </c>
      <c r="G92" t="inlineStr">
        <is>
          <t>ARBOGA</t>
        </is>
      </c>
      <c r="I92" t="n">
        <v>13.2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15569-2025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46217</v>
      </c>
      <c r="F93" t="inlineStr">
        <is>
          <t>VÄSTMANLANDS LÄN</t>
        </is>
      </c>
      <c r="G93" t="inlineStr">
        <is>
          <t>ARBOGA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22290-2026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46154</v>
      </c>
      <c r="E94" s="1" t="n">
        <v>46217</v>
      </c>
      <c r="F94" t="inlineStr">
        <is>
          <t>VÄSTMANLANDS LÄN</t>
        </is>
      </c>
      <c r="G94" t="inlineStr">
        <is>
          <t>ARBOGA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59969-2022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46217</v>
      </c>
      <c r="F95" t="inlineStr">
        <is>
          <t>VÄSTMANLANDS LÄN</t>
        </is>
      </c>
      <c r="G95" t="inlineStr">
        <is>
          <t>ARBOGA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59980-2022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46217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60880-2025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45999</v>
      </c>
      <c r="E97" s="1" t="n">
        <v>46217</v>
      </c>
      <c r="F97" t="inlineStr">
        <is>
          <t>VÄSTMANLANDS LÄN</t>
        </is>
      </c>
      <c r="G97" t="inlineStr">
        <is>
          <t>ARBOGA</t>
        </is>
      </c>
      <c r="H97" t="inlineStr">
        <is>
          <t>Allmännings- och besparingsskogar</t>
        </is>
      </c>
      <c r="I97" t="n">
        <v>8.6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28033-2026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46217</v>
      </c>
      <c r="F98" t="inlineStr">
        <is>
          <t>VÄSTMANLANDS LÄN</t>
        </is>
      </c>
      <c r="G98" t="inlineStr">
        <is>
          <t>ARBOGA</t>
        </is>
      </c>
      <c r="H98" t="inlineStr">
        <is>
          <t>Kyrkan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45109</v>
      </c>
      <c r="E99" s="1" t="n">
        <v>46217</v>
      </c>
      <c r="F99" t="inlineStr">
        <is>
          <t>VÄSTMANLANDS LÄN</t>
        </is>
      </c>
      <c r="G99" t="inlineStr">
        <is>
          <t>ARBOGA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11696-2023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46217</v>
      </c>
      <c r="F100" t="inlineStr">
        <is>
          <t>VÄSTMANLANDS LÄN</t>
        </is>
      </c>
      <c r="G100" t="inlineStr">
        <is>
          <t>ARBOGA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22392-2026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46154</v>
      </c>
      <c r="E101" s="1" t="n">
        <v>46217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16576-2024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45408</v>
      </c>
      <c r="E102" s="1" t="n">
        <v>46217</v>
      </c>
      <c r="F102" t="inlineStr">
        <is>
          <t>VÄSTMANLANDS LÄN</t>
        </is>
      </c>
      <c r="G102" t="inlineStr">
        <is>
          <t>ARBOGA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46217</v>
      </c>
      <c r="F103" t="inlineStr">
        <is>
          <t>VÄSTMANLANDS LÄN</t>
        </is>
      </c>
      <c r="G103" t="inlineStr">
        <is>
          <t>ARBOGA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22355-2026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46217</v>
      </c>
      <c r="F104" t="inlineStr">
        <is>
          <t>VÄSTMANLANDS LÄN</t>
        </is>
      </c>
      <c r="G104" t="inlineStr">
        <is>
          <t>ARBOGA</t>
        </is>
      </c>
      <c r="I104" t="n">
        <v>13.6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63357-2025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46217</v>
      </c>
      <c r="F105" t="inlineStr">
        <is>
          <t>VÄSTMANLANDS LÄN</t>
        </is>
      </c>
      <c r="G105" t="inlineStr">
        <is>
          <t>ARBOGA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61320-2023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45264</v>
      </c>
      <c r="E106" s="1" t="n">
        <v>46217</v>
      </c>
      <c r="F106" t="inlineStr">
        <is>
          <t>VÄSTMANLANDS LÄN</t>
        </is>
      </c>
      <c r="G106" t="inlineStr">
        <is>
          <t>ARBOGA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46217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65748-2021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46217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46217</v>
      </c>
      <c r="F109" t="inlineStr">
        <is>
          <t>VÄSTMANLANDS LÄN</t>
        </is>
      </c>
      <c r="G109" t="inlineStr">
        <is>
          <t>ARBOGA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28069-2025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46217</v>
      </c>
      <c r="F110" t="inlineStr">
        <is>
          <t>VÄSTMANLANDS LÄN</t>
        </is>
      </c>
      <c r="G110" t="inlineStr">
        <is>
          <t>ARBOGA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19387-2024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46217</v>
      </c>
      <c r="F111" t="inlineStr">
        <is>
          <t>VÄSTMANLANDS LÄN</t>
        </is>
      </c>
      <c r="G111" t="inlineStr">
        <is>
          <t>ARBOGA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46217</v>
      </c>
      <c r="F112" t="inlineStr">
        <is>
          <t>VÄSTMANLANDS LÄN</t>
        </is>
      </c>
      <c r="G112" t="inlineStr">
        <is>
          <t>ARBOGA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22785-2026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46217</v>
      </c>
      <c r="F113" t="inlineStr">
        <is>
          <t>VÄSTMANLANDS LÄN</t>
        </is>
      </c>
      <c r="G113" t="inlineStr">
        <is>
          <t>ARBOGA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6698-2022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46217</v>
      </c>
      <c r="F114" t="inlineStr">
        <is>
          <t>VÄSTMANLANDS LÄN</t>
        </is>
      </c>
      <c r="G114" t="inlineStr">
        <is>
          <t>ARBOGA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22784-2026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46217</v>
      </c>
      <c r="F115" t="inlineStr">
        <is>
          <t>VÄSTMANLANDS LÄN</t>
        </is>
      </c>
      <c r="G115" t="inlineStr">
        <is>
          <t>ARBOGA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22787-2026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46217</v>
      </c>
      <c r="F116" t="inlineStr">
        <is>
          <t>VÄSTMANLANDS LÄN</t>
        </is>
      </c>
      <c r="G116" t="inlineStr">
        <is>
          <t>ARBOGA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23046-2026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46217</v>
      </c>
      <c r="F117" t="inlineStr">
        <is>
          <t>VÄSTMANLANDS LÄN</t>
        </is>
      </c>
      <c r="G117" t="inlineStr">
        <is>
          <t>ARBOGA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23048-2026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46217</v>
      </c>
      <c r="F118" t="inlineStr">
        <is>
          <t>VÄSTMANLANDS LÄN</t>
        </is>
      </c>
      <c r="G118" t="inlineStr">
        <is>
          <t>ARBOGA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42045-2022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46217</v>
      </c>
      <c r="F119" t="inlineStr">
        <is>
          <t>VÄSTMANLANDS LÄN</t>
        </is>
      </c>
      <c r="G119" t="inlineStr">
        <is>
          <t>ARBOGA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29571-2026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46217</v>
      </c>
      <c r="F120" t="inlineStr">
        <is>
          <t>VÄSTMANLANDS LÄN</t>
        </is>
      </c>
      <c r="G120" t="inlineStr">
        <is>
          <t>ARBOGA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52433-2024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45608</v>
      </c>
      <c r="E121" s="1" t="n">
        <v>46217</v>
      </c>
      <c r="F121" t="inlineStr">
        <is>
          <t>VÄSTMANLANDS LÄN</t>
        </is>
      </c>
      <c r="G121" t="inlineStr">
        <is>
          <t>ARBOGA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45706</v>
      </c>
      <c r="E122" s="1" t="n">
        <v>46217</v>
      </c>
      <c r="F122" t="inlineStr">
        <is>
          <t>VÄSTMANLANDS LÄN</t>
        </is>
      </c>
      <c r="G122" t="inlineStr">
        <is>
          <t>ARBOGA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10698-2026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46217</v>
      </c>
      <c r="F123" t="inlineStr">
        <is>
          <t>VÄSTMANLANDS LÄN</t>
        </is>
      </c>
      <c r="G123" t="inlineStr">
        <is>
          <t>ARBOGA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10702-2026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46217</v>
      </c>
      <c r="F124" t="inlineStr">
        <is>
          <t>VÄSTMANLANDS LÄN</t>
        </is>
      </c>
      <c r="G124" t="inlineStr">
        <is>
          <t>ARBOGA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44668</v>
      </c>
      <c r="E125" s="1" t="n">
        <v>46217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10665-2026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46217</v>
      </c>
      <c r="F126" t="inlineStr">
        <is>
          <t>VÄSTMANLANDS LÄN</t>
        </is>
      </c>
      <c r="G126" t="inlineStr">
        <is>
          <t>ARBOGA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30092-2026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46217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39780-2023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46217</v>
      </c>
      <c r="F128" t="inlineStr">
        <is>
          <t>VÄSTMANLANDS LÄN</t>
        </is>
      </c>
      <c r="G128" t="inlineStr">
        <is>
          <t>ARBOGA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30066-2026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46217</v>
      </c>
      <c r="F129" t="inlineStr">
        <is>
          <t>VÄSTMANLANDS LÄN</t>
        </is>
      </c>
      <c r="G129" t="inlineStr">
        <is>
          <t>ARBOGA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30067-2026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46217</v>
      </c>
      <c r="F130" t="inlineStr">
        <is>
          <t>VÄSTMANLANDS LÄN</t>
        </is>
      </c>
      <c r="G130" t="inlineStr">
        <is>
          <t>ARBOGA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30073-2026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46217</v>
      </c>
      <c r="F131" t="inlineStr">
        <is>
          <t>VÄSTMANLANDS LÄN</t>
        </is>
      </c>
      <c r="G131" t="inlineStr">
        <is>
          <t>ARBOGA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30086-2026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46217</v>
      </c>
      <c r="F132" t="inlineStr">
        <is>
          <t>VÄSTMANLANDS LÄN</t>
        </is>
      </c>
      <c r="G132" t="inlineStr">
        <is>
          <t>ARBOGA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30063-2026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46217</v>
      </c>
      <c r="F133" t="inlineStr">
        <is>
          <t>VÄSTMANLANDS LÄN</t>
        </is>
      </c>
      <c r="G133" t="inlineStr">
        <is>
          <t>ARBOGA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15487-2022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46217</v>
      </c>
      <c r="F134" t="inlineStr">
        <is>
          <t>VÄSTMANLANDS LÄN</t>
        </is>
      </c>
      <c r="G134" t="inlineStr">
        <is>
          <t>ARBOGA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10699-2026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46217</v>
      </c>
      <c r="F135" t="inlineStr">
        <is>
          <t>VÄSTMANLANDS LÄN</t>
        </is>
      </c>
      <c r="G135" t="inlineStr">
        <is>
          <t>ARBOGA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42379-2021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46217</v>
      </c>
      <c r="F136" t="inlineStr">
        <is>
          <t>VÄSTMANLANDS LÄN</t>
        </is>
      </c>
      <c r="G136" t="inlineStr">
        <is>
          <t>ARBOGA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29573-2022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44754</v>
      </c>
      <c r="E137" s="1" t="n">
        <v>46217</v>
      </c>
      <c r="F137" t="inlineStr">
        <is>
          <t>VÄSTMANLANDS LÄN</t>
        </is>
      </c>
      <c r="G137" t="inlineStr">
        <is>
          <t>ARBOGA</t>
        </is>
      </c>
      <c r="H137" t="inlineStr">
        <is>
          <t>Kyrkan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15406-2026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46217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53629-2023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45230</v>
      </c>
      <c r="E139" s="1" t="n">
        <v>46217</v>
      </c>
      <c r="F139" t="inlineStr">
        <is>
          <t>VÄSTMANLANDS LÄN</t>
        </is>
      </c>
      <c r="G139" t="inlineStr">
        <is>
          <t>ARBOGA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15711-2022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44663</v>
      </c>
      <c r="E140" s="1" t="n">
        <v>46217</v>
      </c>
      <c r="F140" t="inlineStr">
        <is>
          <t>VÄSTMANLANDS LÄN</t>
        </is>
      </c>
      <c r="G140" t="inlineStr">
        <is>
          <t>ARBOGA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61300-2023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46217</v>
      </c>
      <c r="F141" t="inlineStr">
        <is>
          <t>VÄSTMANLANDS LÄN</t>
        </is>
      </c>
      <c r="G141" t="inlineStr">
        <is>
          <t>ARBOGA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61328-2023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46217</v>
      </c>
      <c r="F142" t="inlineStr">
        <is>
          <t>VÄSTMANLANDS LÄN</t>
        </is>
      </c>
      <c r="G142" t="inlineStr">
        <is>
          <t>ARBOGA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24360-2026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46217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46217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24334-2026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46217</v>
      </c>
      <c r="F145" t="inlineStr">
        <is>
          <t>VÄSTMANLANDS LÄN</t>
        </is>
      </c>
      <c r="G145" t="inlineStr">
        <is>
          <t>ARBOGA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24344-2026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46217</v>
      </c>
      <c r="F146" t="inlineStr">
        <is>
          <t>VÄSTMANLANDS LÄN</t>
        </is>
      </c>
      <c r="G146" t="inlineStr">
        <is>
          <t>ARBOGA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24353-2026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46217</v>
      </c>
      <c r="F147" t="inlineStr">
        <is>
          <t>VÄSTMANLANDS LÄN</t>
        </is>
      </c>
      <c r="G147" t="inlineStr">
        <is>
          <t>ARBOGA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46217</v>
      </c>
      <c r="F148" t="inlineStr">
        <is>
          <t>VÄSTMANLANDS LÄN</t>
        </is>
      </c>
      <c r="G148" t="inlineStr">
        <is>
          <t>ARBOGA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17783-2026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46217</v>
      </c>
      <c r="F149" t="inlineStr">
        <is>
          <t>VÄSTMANLANDS LÄN</t>
        </is>
      </c>
      <c r="G149" t="inlineStr">
        <is>
          <t>ARBOGA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22697-2024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45448</v>
      </c>
      <c r="E150" s="1" t="n">
        <v>46217</v>
      </c>
      <c r="F150" t="inlineStr">
        <is>
          <t>VÄSTMANLANDS LÄN</t>
        </is>
      </c>
      <c r="G150" t="inlineStr">
        <is>
          <t>ARBOGA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18827-2026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46128</v>
      </c>
      <c r="E151" s="1" t="n">
        <v>46217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19092-2026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46132</v>
      </c>
      <c r="E152" s="1" t="n">
        <v>46217</v>
      </c>
      <c r="F152" t="inlineStr">
        <is>
          <t>VÄSTMANLANDS LÄN</t>
        </is>
      </c>
      <c r="G152" t="inlineStr">
        <is>
          <t>ARBOGA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42279-2021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44427</v>
      </c>
      <c r="E153" s="1" t="n">
        <v>46217</v>
      </c>
      <c r="F153" t="inlineStr">
        <is>
          <t>VÄSTMANLANDS LÄN</t>
        </is>
      </c>
      <c r="G153" t="inlineStr">
        <is>
          <t>ARBOGA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8818-2023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46217</v>
      </c>
      <c r="F154" t="inlineStr">
        <is>
          <t>VÄSTMANLANDS LÄN</t>
        </is>
      </c>
      <c r="G154" t="inlineStr">
        <is>
          <t>ARBOGA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33809-2022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44790</v>
      </c>
      <c r="E155" s="1" t="n">
        <v>46217</v>
      </c>
      <c r="F155" t="inlineStr">
        <is>
          <t>VÄSTMANLANDS LÄN</t>
        </is>
      </c>
      <c r="G155" t="inlineStr">
        <is>
          <t>ARBOGA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53284-2024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45614</v>
      </c>
      <c r="E156" s="1" t="n">
        <v>46217</v>
      </c>
      <c r="F156" t="inlineStr">
        <is>
          <t>VÄSTMANLANDS LÄN</t>
        </is>
      </c>
      <c r="G156" t="inlineStr">
        <is>
          <t>ARBOGA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48659-2024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45593</v>
      </c>
      <c r="E157" s="1" t="n">
        <v>46217</v>
      </c>
      <c r="F157" t="inlineStr">
        <is>
          <t>VÄSTMANLANDS LÄN</t>
        </is>
      </c>
      <c r="G157" t="inlineStr">
        <is>
          <t>ARBOGA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11744-2022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44634</v>
      </c>
      <c r="E158" s="1" t="n">
        <v>46217</v>
      </c>
      <c r="F158" t="inlineStr">
        <is>
          <t>VÄSTMANLANDS LÄN</t>
        </is>
      </c>
      <c r="G158" t="inlineStr">
        <is>
          <t>ARBOGA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46217</v>
      </c>
      <c r="F159" t="inlineStr">
        <is>
          <t>VÄSTMANLANDS LÄN</t>
        </is>
      </c>
      <c r="G159" t="inlineStr">
        <is>
          <t>ARBOGA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46217</v>
      </c>
      <c r="F160" t="inlineStr">
        <is>
          <t>VÄSTMANLANDS LÄN</t>
        </is>
      </c>
      <c r="G160" t="inlineStr">
        <is>
          <t>ARBOGA</t>
        </is>
      </c>
      <c r="H160" t="inlineStr">
        <is>
          <t>Allmännings- och besparingsskogar</t>
        </is>
      </c>
      <c r="I160" t="n">
        <v>14.8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59715-2021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46217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46217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45679</v>
      </c>
      <c r="E163" s="1" t="n">
        <v>46217</v>
      </c>
      <c r="F163" t="inlineStr">
        <is>
          <t>VÄSTMANLANDS LÄN</t>
        </is>
      </c>
      <c r="G163" t="inlineStr">
        <is>
          <t>ARBOGA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10286-2022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44622</v>
      </c>
      <c r="E164" s="1" t="n">
        <v>46217</v>
      </c>
      <c r="F164" t="inlineStr">
        <is>
          <t>VÄSTMANLANDS LÄN</t>
        </is>
      </c>
      <c r="G164" t="inlineStr">
        <is>
          <t>ARBOGA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24083-2024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46217</v>
      </c>
      <c r="F165" t="inlineStr">
        <is>
          <t>VÄSTMANLANDS LÄN</t>
        </is>
      </c>
      <c r="G165" t="inlineStr">
        <is>
          <t>ARBOGA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20067-2024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45434</v>
      </c>
      <c r="E166" s="1" t="n">
        <v>46217</v>
      </c>
      <c r="F166" t="inlineStr">
        <is>
          <t>VÄSTMANLANDS LÄN</t>
        </is>
      </c>
      <c r="G166" t="inlineStr">
        <is>
          <t>ARBOGA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49005-2023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46217</v>
      </c>
      <c r="F167" t="inlineStr">
        <is>
          <t>VÄSTMANLANDS LÄN</t>
        </is>
      </c>
      <c r="G167" t="inlineStr">
        <is>
          <t>ARBOGA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44988</v>
      </c>
      <c r="E168" s="1" t="n">
        <v>46217</v>
      </c>
      <c r="F168" t="inlineStr">
        <is>
          <t>VÄSTMANLANDS LÄN</t>
        </is>
      </c>
      <c r="G168" t="inlineStr">
        <is>
          <t>ARBOGA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46217</v>
      </c>
      <c r="F169" t="inlineStr">
        <is>
          <t>VÄSTMANLANDS LÄN</t>
        </is>
      </c>
      <c r="G169" t="inlineStr">
        <is>
          <t>ARBOGA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10679-2024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45368</v>
      </c>
      <c r="E170" s="1" t="n">
        <v>46217</v>
      </c>
      <c r="F170" t="inlineStr">
        <is>
          <t>VÄSTMANLANDS LÄN</t>
        </is>
      </c>
      <c r="G170" t="inlineStr">
        <is>
          <t>ARBOGA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46217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9238-2025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46217</v>
      </c>
      <c r="F172" t="inlineStr">
        <is>
          <t>VÄSTMANLANDS LÄN</t>
        </is>
      </c>
      <c r="G172" t="inlineStr">
        <is>
          <t>ARBOGA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37601-2023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46217</v>
      </c>
      <c r="F173" t="inlineStr">
        <is>
          <t>VÄSTMANLANDS LÄN</t>
        </is>
      </c>
      <c r="G173" t="inlineStr">
        <is>
          <t>ARBOGA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6493-2025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46217</v>
      </c>
      <c r="F174" t="inlineStr">
        <is>
          <t>VÄSTMANLANDS LÄN</t>
        </is>
      </c>
      <c r="G174" t="inlineStr">
        <is>
          <t>ARBOGA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46217</v>
      </c>
      <c r="F175" t="inlineStr">
        <is>
          <t>VÄSTMANLANDS LÄN</t>
        </is>
      </c>
      <c r="G175" t="inlineStr">
        <is>
          <t>ARBOGA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59270-2023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46217</v>
      </c>
      <c r="F176" t="inlineStr">
        <is>
          <t>VÄSTMANLANDS LÄN</t>
        </is>
      </c>
      <c r="G176" t="inlineStr">
        <is>
          <t>ARBOGA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46217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14413-2023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46217</v>
      </c>
      <c r="F178" t="inlineStr">
        <is>
          <t>VÄSTMANLANDS LÄN</t>
        </is>
      </c>
      <c r="G178" t="inlineStr">
        <is>
          <t>ARBOGA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46217</v>
      </c>
      <c r="F179" t="inlineStr">
        <is>
          <t>VÄSTMANLANDS LÄN</t>
        </is>
      </c>
      <c r="G179" t="inlineStr">
        <is>
          <t>ARBOGA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58241-2024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46217</v>
      </c>
      <c r="F180" t="inlineStr">
        <is>
          <t>VÄSTMANLANDS LÄN</t>
        </is>
      </c>
      <c r="G180" t="inlineStr">
        <is>
          <t>ARBOGA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65255-2023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46217</v>
      </c>
      <c r="F181" t="inlineStr">
        <is>
          <t>VÄSTMANLANDS LÄN</t>
        </is>
      </c>
      <c r="G181" t="inlineStr">
        <is>
          <t>ARBOGA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46217</v>
      </c>
      <c r="F182" t="inlineStr">
        <is>
          <t>VÄSTMANLANDS LÄN</t>
        </is>
      </c>
      <c r="G182" t="inlineStr">
        <is>
          <t>ARBOGA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45588</v>
      </c>
      <c r="E183" s="1" t="n">
        <v>46217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46217</v>
      </c>
      <c r="F184" t="inlineStr">
        <is>
          <t>VÄSTMANLANDS LÄN</t>
        </is>
      </c>
      <c r="G184" t="inlineStr">
        <is>
          <t>ARBOGA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46217</v>
      </c>
      <c r="F185" t="inlineStr">
        <is>
          <t>VÄSTMANLANDS LÄN</t>
        </is>
      </c>
      <c r="G185" t="inlineStr">
        <is>
          <t>ARBOGA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46217</v>
      </c>
      <c r="F186" t="inlineStr">
        <is>
          <t>VÄSTMANLANDS LÄN</t>
        </is>
      </c>
      <c r="G186" t="inlineStr">
        <is>
          <t>ARBOGA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46217</v>
      </c>
      <c r="F187" t="inlineStr">
        <is>
          <t>VÄSTMANLANDS LÄN</t>
        </is>
      </c>
      <c r="G187" t="inlineStr">
        <is>
          <t>ARBOGA</t>
        </is>
      </c>
      <c r="H187" t="inlineStr">
        <is>
          <t>Allmännings- och besparingsskogar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55187-2022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46217</v>
      </c>
      <c r="F188" t="inlineStr">
        <is>
          <t>VÄSTMANLANDS LÄN</t>
        </is>
      </c>
      <c r="G188" t="inlineStr">
        <is>
          <t>ARBOGA</t>
        </is>
      </c>
      <c r="H188" t="inlineStr">
        <is>
          <t>Allmännings- och besparingsskogar</t>
        </is>
      </c>
      <c r="I188" t="n">
        <v>19.4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2026-07-14T09:00:25Z</dcterms:created>
  <dcterms:modified xmlns:dcterms="http://purl.org/dc/terms/" xmlns:xsi="http://www.w3.org/2001/XMLSchema-instance" xsi:type="dcterms:W3CDTF">2026-07-14T09:00:26Z</dcterms:modified>
</cp:coreProperties>
</file>