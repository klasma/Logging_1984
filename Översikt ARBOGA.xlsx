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46310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46310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61994-2024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45653</v>
      </c>
      <c r="E9" s="1" t="n">
        <v>46310</v>
      </c>
      <c r="F9" t="inlineStr">
        <is>
          <t>VÄSTMANLANDS LÄN</t>
        </is>
      </c>
      <c r="G9" t="inlineStr">
        <is>
          <t>ARBOGA</t>
        </is>
      </c>
      <c r="H9" t="inlineStr">
        <is>
          <t>Sveaskog</t>
        </is>
      </c>
      <c r="I9" t="n">
        <v>1.3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Grönvit nattviol</t>
        </is>
      </c>
      <c r="W9">
        <f>HYPERLINK("https://klasma.github.io/Logging_1984/artfynd/A 61994-2024 artfynd.xlsx", "A 61994-2024")</f>
        <v/>
      </c>
      <c r="X9">
        <f>HYPERLINK("https://klasma.github.io/Logging_1984/kartor/A 61994-2024 karta.png", "A 61994-2024")</f>
        <v/>
      </c>
      <c r="Y9">
        <f>HYPERLINK("https://klasma.github.io/Logging_1984/kartor_geotiff/A 61994-2024 georefererad karta.tif", "A 61994-2024")</f>
        <v/>
      </c>
      <c r="AA9">
        <f>HYPERLINK("https://klasma.github.io/Logging_1984/klagomål/A 61994-2024 FSC-klagomål.docx", "A 61994-2024")</f>
        <v/>
      </c>
      <c r="AB9">
        <f>HYPERLINK("https://klasma.github.io/Logging_1984/klagomålsmail/A 61994-2024 FSC-klagomål mail.docx", "A 61994-2024")</f>
        <v/>
      </c>
      <c r="AC9">
        <f>HYPERLINK("https://klasma.github.io/Logging_1984/tillsyn/A 61994-2024 tillsynsbegäran.docx", "A 61994-2024")</f>
        <v/>
      </c>
      <c r="AD9">
        <f>HYPERLINK("https://klasma.github.io/Logging_1984/tillsynsmail/A 61994-2024 tillsynsbegäran mail.docx", "A 61994-2024")</f>
        <v/>
      </c>
    </row>
    <row r="10" ht="15" customHeight="1">
      <c r="A10" t="inlineStr">
        <is>
          <t>A 20064-2024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46310</v>
      </c>
      <c r="F10" t="inlineStr">
        <is>
          <t>VÄSTMANLANDS LÄN</t>
        </is>
      </c>
      <c r="G10" t="inlineStr">
        <is>
          <t>ARBOGA</t>
        </is>
      </c>
      <c r="I10" t="n">
        <v>7.1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Ask
Vanlig padda</t>
        </is>
      </c>
      <c r="W10">
        <f>HYPERLINK("https://klasma.github.io/Logging_1984/artfynd/A 20064-2024 artfynd.xlsx", "A 20064-2024")</f>
        <v/>
      </c>
      <c r="X10">
        <f>HYPERLINK("https://klasma.github.io/Logging_1984/kartor/A 20064-2024 karta.png", "A 20064-2024")</f>
        <v/>
      </c>
      <c r="Y10">
        <f>HYPERLINK("https://klasma.github.io/Logging_1984/kartor_geotiff/A 20064-2024 georefererad karta.tif", "A 20064-2024")</f>
        <v/>
      </c>
      <c r="AA10">
        <f>HYPERLINK("https://klasma.github.io/Logging_1984/klagomål/A 20064-2024 FSC-klagomål.docx", "A 20064-2024")</f>
        <v/>
      </c>
      <c r="AB10">
        <f>HYPERLINK("https://klasma.github.io/Logging_1984/klagomålsmail/A 20064-2024 FSC-klagomål mail.docx", "A 20064-2024")</f>
        <v/>
      </c>
      <c r="AC10">
        <f>HYPERLINK("https://klasma.github.io/Logging_1984/tillsyn/A 20064-2024 tillsynsbegäran.docx", "A 20064-2024")</f>
        <v/>
      </c>
      <c r="AD10">
        <f>HYPERLINK("https://klasma.github.io/Logging_1984/tillsynsmail/A 20064-2024 tillsynsbegäran mail.docx", "A 20064-2024")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46310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46310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46310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46310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46310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46310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46310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46310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46310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46310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46310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46310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46310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46310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46310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46310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46310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45111</v>
      </c>
      <c r="E30" s="1" t="n">
        <v>46310</v>
      </c>
      <c r="F30" t="inlineStr">
        <is>
          <t>VÄSTMANLANDS LÄN</t>
        </is>
      </c>
      <c r="G30" t="inlineStr">
        <is>
          <t>ARBOGA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46310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45679</v>
      </c>
      <c r="E32" s="1" t="n">
        <v>46310</v>
      </c>
      <c r="F32" t="inlineStr">
        <is>
          <t>VÄSTMANLANDS LÄN</t>
        </is>
      </c>
      <c r="G32" t="inlineStr">
        <is>
          <t>ARBOGA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43602-2023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45184</v>
      </c>
      <c r="E33" s="1" t="n">
        <v>46310</v>
      </c>
      <c r="F33" t="inlineStr">
        <is>
          <t>VÄSTMANLANDS LÄN</t>
        </is>
      </c>
      <c r="G33" t="inlineStr">
        <is>
          <t>ARBOGA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45628</v>
      </c>
      <c r="E34" s="1" t="n">
        <v>46310</v>
      </c>
      <c r="F34" t="inlineStr">
        <is>
          <t>VÄSTMANLANDS LÄN</t>
        </is>
      </c>
      <c r="G34" t="inlineStr">
        <is>
          <t>ARBOGA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46310</v>
      </c>
      <c r="F35" t="inlineStr">
        <is>
          <t>VÄSTMANLANDS LÄN</t>
        </is>
      </c>
      <c r="G35" t="inlineStr">
        <is>
          <t>ARBOGA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45660</v>
      </c>
      <c r="E36" s="1" t="n">
        <v>46310</v>
      </c>
      <c r="F36" t="inlineStr">
        <is>
          <t>VÄSTMANLANDS LÄN</t>
        </is>
      </c>
      <c r="G36" t="inlineStr">
        <is>
          <t>ARBOGA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45290</v>
      </c>
      <c r="E37" s="1" t="n">
        <v>46310</v>
      </c>
      <c r="F37" t="inlineStr">
        <is>
          <t>VÄSTMANLANDS LÄN</t>
        </is>
      </c>
      <c r="G37" t="inlineStr">
        <is>
          <t>ARBOGA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47648-2024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46310</v>
      </c>
      <c r="F38" t="inlineStr">
        <is>
          <t>VÄSTMANLANDS LÄN</t>
        </is>
      </c>
      <c r="G38" t="inlineStr">
        <is>
          <t>ARBOGA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46310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44668</v>
      </c>
      <c r="E40" s="1" t="n">
        <v>46310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46310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19.4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46310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46310</v>
      </c>
      <c r="F43" t="inlineStr">
        <is>
          <t>VÄSTMANLANDS LÄN</t>
        </is>
      </c>
      <c r="G43" t="inlineStr">
        <is>
          <t>ARBOGA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46310</v>
      </c>
      <c r="F44" t="inlineStr">
        <is>
          <t>VÄSTMANLANDS LÄN</t>
        </is>
      </c>
      <c r="G44" t="inlineStr">
        <is>
          <t>ARBOGA</t>
        </is>
      </c>
      <c r="H44" t="inlineStr">
        <is>
          <t>Kyrkan</t>
        </is>
      </c>
      <c r="I44" t="n">
        <v>8.800000000000001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61388-2023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45264</v>
      </c>
      <c r="E45" s="1" t="n">
        <v>46310</v>
      </c>
      <c r="F45" t="inlineStr">
        <is>
          <t>VÄSTMANLANDS LÄN</t>
        </is>
      </c>
      <c r="G45" t="inlineStr">
        <is>
          <t>ARBOGA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61394-2023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46310</v>
      </c>
      <c r="F46" t="inlineStr">
        <is>
          <t>VÄSTMANLANDS LÄN</t>
        </is>
      </c>
      <c r="G46" t="inlineStr">
        <is>
          <t>ARBOGA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45797-2022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46310</v>
      </c>
      <c r="F47" t="inlineStr">
        <is>
          <t>VÄSTMANLANDS LÄN</t>
        </is>
      </c>
      <c r="G47" t="inlineStr">
        <is>
          <t>ARBOGA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45368</v>
      </c>
      <c r="E48" s="1" t="n">
        <v>46310</v>
      </c>
      <c r="F48" t="inlineStr">
        <is>
          <t>VÄSTMANLANDS LÄN</t>
        </is>
      </c>
      <c r="G48" t="inlineStr">
        <is>
          <t>ARBOGA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45665</v>
      </c>
      <c r="E49" s="1" t="n">
        <v>46310</v>
      </c>
      <c r="F49" t="inlineStr">
        <is>
          <t>VÄSTMANLANDS LÄN</t>
        </is>
      </c>
      <c r="G49" t="inlineStr">
        <is>
          <t>ARBOGA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46310</v>
      </c>
      <c r="F50" t="inlineStr">
        <is>
          <t>VÄSTMANLANDS LÄN</t>
        </is>
      </c>
      <c r="G50" t="inlineStr">
        <is>
          <t>ARBOGA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46310</v>
      </c>
      <c r="F51" t="inlineStr">
        <is>
          <t>VÄSTMANLANDS LÄN</t>
        </is>
      </c>
      <c r="G51" t="inlineStr">
        <is>
          <t>ARBOGA</t>
        </is>
      </c>
      <c r="I51" t="n">
        <v>10.9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59715-2021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46310</v>
      </c>
      <c r="F52" t="inlineStr">
        <is>
          <t>VÄSTMANLANDS LÄN</t>
        </is>
      </c>
      <c r="G52" t="inlineStr">
        <is>
          <t>ARBOGA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46310</v>
      </c>
      <c r="F53" t="inlineStr">
        <is>
          <t>VÄSTMANLANDS LÄN</t>
        </is>
      </c>
      <c r="G53" t="inlineStr">
        <is>
          <t>ARBOGA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46310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46310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46310</v>
      </c>
      <c r="F56" t="inlineStr">
        <is>
          <t>VÄSTMANLANDS LÄN</t>
        </is>
      </c>
      <c r="G56" t="inlineStr">
        <is>
          <t>ARBOGA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46310</v>
      </c>
      <c r="F57" t="inlineStr">
        <is>
          <t>VÄSTMANLANDS LÄN</t>
        </is>
      </c>
      <c r="G57" t="inlineStr">
        <is>
          <t>ARBOGA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46310</v>
      </c>
      <c r="F58" t="inlineStr">
        <is>
          <t>VÄSTMANLANDS LÄN</t>
        </is>
      </c>
      <c r="G58" t="inlineStr">
        <is>
          <t>ARBOGA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46310</v>
      </c>
      <c r="F59" t="inlineStr">
        <is>
          <t>VÄSTMANLANDS LÄN</t>
        </is>
      </c>
      <c r="G59" t="inlineStr">
        <is>
          <t>ARBOGA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46310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46310</v>
      </c>
      <c r="F61" t="inlineStr">
        <is>
          <t>VÄSTMANLANDS LÄN</t>
        </is>
      </c>
      <c r="G61" t="inlineStr">
        <is>
          <t>ARBOGA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46310</v>
      </c>
      <c r="F62" t="inlineStr">
        <is>
          <t>VÄSTMANLANDS LÄN</t>
        </is>
      </c>
      <c r="G62" t="inlineStr">
        <is>
          <t>ARBOGA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46310</v>
      </c>
      <c r="F63" t="inlineStr">
        <is>
          <t>VÄSTMANLANDS LÄN</t>
        </is>
      </c>
      <c r="G63" t="inlineStr">
        <is>
          <t>ARBOGA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46310</v>
      </c>
      <c r="F64" t="inlineStr">
        <is>
          <t>VÄSTMANLANDS LÄN</t>
        </is>
      </c>
      <c r="G64" t="inlineStr">
        <is>
          <t>ARBOGA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45952</v>
      </c>
      <c r="E65" s="1" t="n">
        <v>46310</v>
      </c>
      <c r="F65" t="inlineStr">
        <is>
          <t>VÄSTMANLANDS LÄN</t>
        </is>
      </c>
      <c r="G65" t="inlineStr">
        <is>
          <t>ARBOGA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45965</v>
      </c>
      <c r="E66" s="1" t="n">
        <v>46310</v>
      </c>
      <c r="F66" t="inlineStr">
        <is>
          <t>VÄSTMANLANDS LÄN</t>
        </is>
      </c>
      <c r="G66" t="inlineStr">
        <is>
          <t>ARBOGA</t>
        </is>
      </c>
      <c r="H66" t="inlineStr">
        <is>
          <t>Sveaskog</t>
        </is>
      </c>
      <c r="I66" t="n">
        <v>11.6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45962</v>
      </c>
      <c r="E67" s="1" t="n">
        <v>46310</v>
      </c>
      <c r="F67" t="inlineStr">
        <is>
          <t>VÄSTMANLANDS LÄN</t>
        </is>
      </c>
      <c r="G67" t="inlineStr">
        <is>
          <t>ARBOGA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46310</v>
      </c>
      <c r="F68" t="inlineStr">
        <is>
          <t>VÄSTMANLANDS LÄN</t>
        </is>
      </c>
      <c r="G68" t="inlineStr">
        <is>
          <t>ARBOGA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46310</v>
      </c>
      <c r="F69" t="inlineStr">
        <is>
          <t>VÄSTMANLANDS LÄN</t>
        </is>
      </c>
      <c r="G69" t="inlineStr">
        <is>
          <t>ARBOGA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46310</v>
      </c>
      <c r="F70" t="inlineStr">
        <is>
          <t>VÄSTMANLANDS LÄN</t>
        </is>
      </c>
      <c r="G70" t="inlineStr">
        <is>
          <t>ARBOGA</t>
        </is>
      </c>
      <c r="H70" t="inlineStr">
        <is>
          <t>Allmännings- och besparingsskogar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44671</v>
      </c>
      <c r="E71" s="1" t="n">
        <v>46310</v>
      </c>
      <c r="F71" t="inlineStr">
        <is>
          <t>VÄSTMANLANDS LÄN</t>
        </is>
      </c>
      <c r="G71" t="inlineStr">
        <is>
          <t>ARBOGA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45694</v>
      </c>
      <c r="E72" s="1" t="n">
        <v>46310</v>
      </c>
      <c r="F72" t="inlineStr">
        <is>
          <t>VÄSTMANLANDS LÄN</t>
        </is>
      </c>
      <c r="G72" t="inlineStr">
        <is>
          <t>ARBOGA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44582</v>
      </c>
      <c r="E73" s="1" t="n">
        <v>46310</v>
      </c>
      <c r="F73" t="inlineStr">
        <is>
          <t>VÄSTMANLANDS LÄN</t>
        </is>
      </c>
      <c r="G73" t="inlineStr">
        <is>
          <t>ARBOGA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44582</v>
      </c>
      <c r="E74" s="1" t="n">
        <v>46310</v>
      </c>
      <c r="F74" t="inlineStr">
        <is>
          <t>VÄSTMANLANDS LÄN</t>
        </is>
      </c>
      <c r="G74" t="inlineStr">
        <is>
          <t>ARBOGA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12650-2023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45000</v>
      </c>
      <c r="E75" s="1" t="n">
        <v>46310</v>
      </c>
      <c r="F75" t="inlineStr">
        <is>
          <t>VÄSTMANLANDS LÄN</t>
        </is>
      </c>
      <c r="G75" t="inlineStr">
        <is>
          <t>ARBOGA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46310</v>
      </c>
      <c r="F76" t="inlineStr">
        <is>
          <t>VÄSTMANLANDS LÄN</t>
        </is>
      </c>
      <c r="G76" t="inlineStr">
        <is>
          <t>ARBOGA</t>
        </is>
      </c>
      <c r="I76" t="n">
        <v>13.2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46310</v>
      </c>
      <c r="F77" t="inlineStr">
        <is>
          <t>VÄSTMANLANDS LÄN</t>
        </is>
      </c>
      <c r="G77" t="inlineStr">
        <is>
          <t>ARBOGA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41490-2024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46310</v>
      </c>
      <c r="F78" t="inlineStr">
        <is>
          <t>VÄSTMANLANDS LÄN</t>
        </is>
      </c>
      <c r="G78" t="inlineStr">
        <is>
          <t>ARBOGA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46310</v>
      </c>
      <c r="F79" t="inlineStr">
        <is>
          <t>VÄSTMANLANDS LÄN</t>
        </is>
      </c>
      <c r="G79" t="inlineStr">
        <is>
          <t>ARBOGA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46310</v>
      </c>
      <c r="F80" t="inlineStr">
        <is>
          <t>VÄSTMANLANDS LÄN</t>
        </is>
      </c>
      <c r="G80" t="inlineStr">
        <is>
          <t>ARBOGA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46310</v>
      </c>
      <c r="F81" t="inlineStr">
        <is>
          <t>VÄSTMANLANDS LÄN</t>
        </is>
      </c>
      <c r="G81" t="inlineStr">
        <is>
          <t>ARBOGA</t>
        </is>
      </c>
      <c r="H81" t="inlineStr">
        <is>
          <t>Kyrkan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46310</v>
      </c>
      <c r="F82" t="inlineStr">
        <is>
          <t>VÄSTMANLANDS LÄN</t>
        </is>
      </c>
      <c r="G82" t="inlineStr">
        <is>
          <t>ARBOGA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46310</v>
      </c>
      <c r="F83" t="inlineStr">
        <is>
          <t>VÄSTMANLANDS LÄN</t>
        </is>
      </c>
      <c r="G83" t="inlineStr">
        <is>
          <t>ARBOGA</t>
        </is>
      </c>
      <c r="I83" t="n">
        <v>7.1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32275-2024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45512</v>
      </c>
      <c r="E84" s="1" t="n">
        <v>46310</v>
      </c>
      <c r="F84" t="inlineStr">
        <is>
          <t>VÄSTMANLANDS LÄN</t>
        </is>
      </c>
      <c r="G84" t="inlineStr">
        <is>
          <t>ARBOGA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46310</v>
      </c>
      <c r="F85" t="inlineStr">
        <is>
          <t>VÄSTMANLANDS LÄN</t>
        </is>
      </c>
      <c r="G85" t="inlineStr">
        <is>
          <t>ARBOGA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46128</v>
      </c>
      <c r="E86" s="1" t="n">
        <v>46310</v>
      </c>
      <c r="F86" t="inlineStr">
        <is>
          <t>VÄSTMANLANDS LÄN</t>
        </is>
      </c>
      <c r="G86" t="inlineStr">
        <is>
          <t>ARBOGA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46310</v>
      </c>
      <c r="F87" t="inlineStr">
        <is>
          <t>VÄSTMANLANDS LÄN</t>
        </is>
      </c>
      <c r="G87" t="inlineStr">
        <is>
          <t>ARBOGA</t>
        </is>
      </c>
      <c r="H87" t="inlineStr">
        <is>
          <t>Allmännings- och besparingsskogar</t>
        </is>
      </c>
      <c r="I87" t="n">
        <v>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45593</v>
      </c>
      <c r="E88" s="1" t="n">
        <v>46310</v>
      </c>
      <c r="F88" t="inlineStr">
        <is>
          <t>VÄSTMANLANDS LÄN</t>
        </is>
      </c>
      <c r="G88" t="inlineStr">
        <is>
          <t>ARBOGA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46310</v>
      </c>
      <c r="F89" t="inlineStr">
        <is>
          <t>VÄSTMANLANDS LÄN</t>
        </is>
      </c>
      <c r="G89" t="inlineStr">
        <is>
          <t>ARBOGA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46310</v>
      </c>
      <c r="F90" t="inlineStr">
        <is>
          <t>VÄSTMANLANDS LÄN</t>
        </is>
      </c>
      <c r="G90" t="inlineStr">
        <is>
          <t>ARBOGA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46310</v>
      </c>
      <c r="F91" t="inlineStr">
        <is>
          <t>VÄSTMANLANDS LÄN</t>
        </is>
      </c>
      <c r="G91" t="inlineStr">
        <is>
          <t>ARBOGA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45397</v>
      </c>
      <c r="E92" s="1" t="n">
        <v>46310</v>
      </c>
      <c r="F92" t="inlineStr">
        <is>
          <t>VÄSTMANLANDS LÄN</t>
        </is>
      </c>
      <c r="G92" t="inlineStr">
        <is>
          <t>ARBOGA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46310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46310</v>
      </c>
      <c r="F94" t="inlineStr">
        <is>
          <t>VÄSTMANLANDS LÄN</t>
        </is>
      </c>
      <c r="G94" t="inlineStr">
        <is>
          <t>ARBOGA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44909</v>
      </c>
      <c r="E95" s="1" t="n">
        <v>46310</v>
      </c>
      <c r="F95" t="inlineStr">
        <is>
          <t>VÄSTMANLANDS LÄN</t>
        </is>
      </c>
      <c r="G95" t="inlineStr">
        <is>
          <t>ARBOGA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46310</v>
      </c>
      <c r="F96" t="inlineStr">
        <is>
          <t>VÄSTMANLANDS LÄN</t>
        </is>
      </c>
      <c r="G96" t="inlineStr">
        <is>
          <t>ARBOGA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46030</v>
      </c>
      <c r="E97" s="1" t="n">
        <v>46310</v>
      </c>
      <c r="F97" t="inlineStr">
        <is>
          <t>VÄSTMANLANDS LÄN</t>
        </is>
      </c>
      <c r="G97" t="inlineStr">
        <is>
          <t>ARBOGA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46310</v>
      </c>
      <c r="F98" t="inlineStr">
        <is>
          <t>VÄSTMANLANDS LÄN</t>
        </is>
      </c>
      <c r="G98" t="inlineStr">
        <is>
          <t>ARBOGA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46310</v>
      </c>
      <c r="F99" t="inlineStr">
        <is>
          <t>VÄSTMANLANDS LÄN</t>
        </is>
      </c>
      <c r="G99" t="inlineStr">
        <is>
          <t>ARBOGA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45741</v>
      </c>
      <c r="E100" s="1" t="n">
        <v>46310</v>
      </c>
      <c r="F100" t="inlineStr">
        <is>
          <t>VÄSTMANLANDS LÄN</t>
        </is>
      </c>
      <c r="G100" t="inlineStr">
        <is>
          <t>ARBOGA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46310</v>
      </c>
      <c r="F101" t="inlineStr">
        <is>
          <t>VÄSTMANLANDS LÄN</t>
        </is>
      </c>
      <c r="G101" t="inlineStr">
        <is>
          <t>ARBOGA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46310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68237-2021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46310</v>
      </c>
      <c r="F103" t="inlineStr">
        <is>
          <t>VÄSTMANLANDS LÄN</t>
        </is>
      </c>
      <c r="G103" t="inlineStr">
        <is>
          <t>ARBOGA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46310</v>
      </c>
      <c r="F104" t="inlineStr">
        <is>
          <t>VÄSTMANLANDS LÄN</t>
        </is>
      </c>
      <c r="G104" t="inlineStr">
        <is>
          <t>ARBOGA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46310</v>
      </c>
      <c r="F105" t="inlineStr">
        <is>
          <t>VÄSTMANLANDS LÄN</t>
        </is>
      </c>
      <c r="G105" t="inlineStr">
        <is>
          <t>ARBOGA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46310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46310</v>
      </c>
      <c r="F107" t="inlineStr">
        <is>
          <t>VÄSTMANLANDS LÄN</t>
        </is>
      </c>
      <c r="G107" t="inlineStr">
        <is>
          <t>ARBOGA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44668</v>
      </c>
      <c r="E108" s="1" t="n">
        <v>46310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46310</v>
      </c>
      <c r="F109" t="inlineStr">
        <is>
          <t>VÄSTMANLANDS LÄN</t>
        </is>
      </c>
      <c r="G109" t="inlineStr">
        <is>
          <t>ARBOGA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45230</v>
      </c>
      <c r="E110" s="1" t="n">
        <v>46310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46310</v>
      </c>
      <c r="F111" t="inlineStr">
        <is>
          <t>VÄSTMANLANDS LÄN</t>
        </is>
      </c>
      <c r="G111" t="inlineStr">
        <is>
          <t>ARBOGA</t>
        </is>
      </c>
      <c r="I111" t="n">
        <v>13.6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46310</v>
      </c>
      <c r="F112" t="inlineStr">
        <is>
          <t>VÄSTMANLANDS LÄN</t>
        </is>
      </c>
      <c r="G112" t="inlineStr">
        <is>
          <t>ARBOGA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46310</v>
      </c>
      <c r="F113" t="inlineStr">
        <is>
          <t>VÄSTMANLANDS LÄN</t>
        </is>
      </c>
      <c r="G113" t="inlineStr">
        <is>
          <t>ARBOGA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46310</v>
      </c>
      <c r="F114" t="inlineStr">
        <is>
          <t>VÄSTMANLANDS LÄN</t>
        </is>
      </c>
      <c r="G114" t="inlineStr">
        <is>
          <t>ARBOGA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46310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46310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46310</v>
      </c>
      <c r="F117" t="inlineStr">
        <is>
          <t>VÄSTMANLANDS LÄN</t>
        </is>
      </c>
      <c r="G117" t="inlineStr">
        <is>
          <t>ARBOGA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46310</v>
      </c>
      <c r="F118" t="inlineStr">
        <is>
          <t>VÄSTMANLANDS LÄN</t>
        </is>
      </c>
      <c r="G118" t="inlineStr">
        <is>
          <t>ARBOGA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45714</v>
      </c>
      <c r="E119" s="1" t="n">
        <v>46310</v>
      </c>
      <c r="F119" t="inlineStr">
        <is>
          <t>VÄSTMANLANDS LÄN</t>
        </is>
      </c>
      <c r="G119" t="inlineStr">
        <is>
          <t>ARBOGA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46310</v>
      </c>
      <c r="F120" t="inlineStr">
        <is>
          <t>VÄSTMANLANDS LÄN</t>
        </is>
      </c>
      <c r="G120" t="inlineStr">
        <is>
          <t>ARBOGA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46310</v>
      </c>
      <c r="F121" t="inlineStr">
        <is>
          <t>VÄSTMANLANDS LÄN</t>
        </is>
      </c>
      <c r="G121" t="inlineStr">
        <is>
          <t>ARBOGA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46310</v>
      </c>
      <c r="F122" t="inlineStr">
        <is>
          <t>VÄSTMANLANDS LÄN</t>
        </is>
      </c>
      <c r="G122" t="inlineStr">
        <is>
          <t>ARBOGA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46310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46310</v>
      </c>
      <c r="F124" t="inlineStr">
        <is>
          <t>VÄSTMANLANDS LÄN</t>
        </is>
      </c>
      <c r="G124" t="inlineStr">
        <is>
          <t>ARBOGA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46310</v>
      </c>
      <c r="F125" t="inlineStr">
        <is>
          <t>VÄSTMANLANDS LÄN</t>
        </is>
      </c>
      <c r="G125" t="inlineStr">
        <is>
          <t>ARBOGA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46310</v>
      </c>
      <c r="F126" t="inlineStr">
        <is>
          <t>VÄSTMANLANDS LÄN</t>
        </is>
      </c>
      <c r="G126" t="inlineStr">
        <is>
          <t>ARBOGA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46310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46310</v>
      </c>
      <c r="F128" t="inlineStr">
        <is>
          <t>VÄSTMANLANDS LÄN</t>
        </is>
      </c>
      <c r="G128" t="inlineStr">
        <is>
          <t>ARBOGA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46310</v>
      </c>
      <c r="F129" t="inlineStr">
        <is>
          <t>VÄSTMANLANDS LÄN</t>
        </is>
      </c>
      <c r="G129" t="inlineStr">
        <is>
          <t>ARBOGA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46310</v>
      </c>
      <c r="F130" t="inlineStr">
        <is>
          <t>VÄSTMANLANDS LÄN</t>
        </is>
      </c>
      <c r="G130" t="inlineStr">
        <is>
          <t>ARBOGA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64833-2021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46310</v>
      </c>
      <c r="F131" t="inlineStr">
        <is>
          <t>VÄSTMANLANDS LÄN</t>
        </is>
      </c>
      <c r="G131" t="inlineStr">
        <is>
          <t>ARBOGA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46195</v>
      </c>
      <c r="E132" s="1" t="n">
        <v>46310</v>
      </c>
      <c r="F132" t="inlineStr">
        <is>
          <t>VÄSTMANLANDS LÄN</t>
        </is>
      </c>
      <c r="G132" t="inlineStr">
        <is>
          <t>ARBOGA</t>
        </is>
      </c>
      <c r="H132" t="inlineStr">
        <is>
          <t>Kyrkan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45006</v>
      </c>
      <c r="E133" s="1" t="n">
        <v>46310</v>
      </c>
      <c r="F133" t="inlineStr">
        <is>
          <t>VÄSTMANLANDS LÄN</t>
        </is>
      </c>
      <c r="G133" t="inlineStr">
        <is>
          <t>ARBOGA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46204</v>
      </c>
      <c r="E134" s="1" t="n">
        <v>46310</v>
      </c>
      <c r="F134" t="inlineStr">
        <is>
          <t>VÄSTMANLANDS LÄN</t>
        </is>
      </c>
      <c r="G134" t="inlineStr">
        <is>
          <t>ARBOGA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46310</v>
      </c>
      <c r="F135" t="inlineStr">
        <is>
          <t>VÄSTMANLANDS LÄN</t>
        </is>
      </c>
      <c r="G135" t="inlineStr">
        <is>
          <t>ARBOGA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46310</v>
      </c>
      <c r="F136" t="inlineStr">
        <is>
          <t>VÄSTMANLANDS LÄN</t>
        </is>
      </c>
      <c r="G136" t="inlineStr">
        <is>
          <t>ARBOGA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46310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46310</v>
      </c>
      <c r="F138" t="inlineStr">
        <is>
          <t>VÄSTMANLANDS LÄN</t>
        </is>
      </c>
      <c r="G138" t="inlineStr">
        <is>
          <t>ARBOGA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46310</v>
      </c>
      <c r="F139" t="inlineStr">
        <is>
          <t>VÄSTMANLANDS LÄN</t>
        </is>
      </c>
      <c r="G139" t="inlineStr">
        <is>
          <t>ARBOGA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46310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46310</v>
      </c>
      <c r="F141" t="inlineStr">
        <is>
          <t>VÄSTMANLANDS LÄN</t>
        </is>
      </c>
      <c r="G141" t="inlineStr">
        <is>
          <t>ARBOGA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44960</v>
      </c>
      <c r="E142" s="1" t="n">
        <v>46310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14.8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46310</v>
      </c>
      <c r="F143" t="inlineStr">
        <is>
          <t>VÄSTMANLANDS LÄN</t>
        </is>
      </c>
      <c r="G143" t="inlineStr">
        <is>
          <t>ARBOGA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46310</v>
      </c>
      <c r="F144" t="inlineStr">
        <is>
          <t>VÄSTMANLANDS LÄN</t>
        </is>
      </c>
      <c r="G144" t="inlineStr">
        <is>
          <t>ARBOGA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46310</v>
      </c>
      <c r="F145" t="inlineStr">
        <is>
          <t>VÄSTMANLANDS LÄN</t>
        </is>
      </c>
      <c r="G145" t="inlineStr">
        <is>
          <t>ARBOGA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46310</v>
      </c>
      <c r="F146" t="inlineStr">
        <is>
          <t>VÄSTMANLANDS LÄN</t>
        </is>
      </c>
      <c r="G146" t="inlineStr">
        <is>
          <t>ARBOGA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46310</v>
      </c>
      <c r="F147" t="inlineStr">
        <is>
          <t>VÄSTMANLANDS LÄN</t>
        </is>
      </c>
      <c r="G147" t="inlineStr">
        <is>
          <t>ARBOGA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46310</v>
      </c>
      <c r="F148" t="inlineStr">
        <is>
          <t>VÄSTMANLANDS LÄN</t>
        </is>
      </c>
      <c r="G148" t="inlineStr">
        <is>
          <t>ARBOGA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46310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46310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46310</v>
      </c>
      <c r="F151" t="inlineStr">
        <is>
          <t>VÄSTMANLANDS LÄN</t>
        </is>
      </c>
      <c r="G151" t="inlineStr">
        <is>
          <t>ARBOGA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46310</v>
      </c>
      <c r="F152" t="inlineStr">
        <is>
          <t>VÄSTMANLANDS LÄN</t>
        </is>
      </c>
      <c r="G152" t="inlineStr">
        <is>
          <t>ARBOGA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46310</v>
      </c>
      <c r="F153" t="inlineStr">
        <is>
          <t>VÄSTMANLANDS LÄN</t>
        </is>
      </c>
      <c r="G153" t="inlineStr">
        <is>
          <t>ARBOGA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37404-2026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46275</v>
      </c>
      <c r="E154" s="1" t="n">
        <v>46310</v>
      </c>
      <c r="F154" t="inlineStr">
        <is>
          <t>VÄSTMANLANDS LÄN</t>
        </is>
      </c>
      <c r="G154" t="inlineStr">
        <is>
          <t>ARBOGA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46310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46277</v>
      </c>
      <c r="E156" s="1" t="n">
        <v>46310</v>
      </c>
      <c r="F156" t="inlineStr">
        <is>
          <t>VÄSTMANLANDS LÄN</t>
        </is>
      </c>
      <c r="G156" t="inlineStr">
        <is>
          <t>ARBOGA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46310</v>
      </c>
      <c r="F157" t="inlineStr">
        <is>
          <t>VÄSTMANLANDS LÄN</t>
        </is>
      </c>
      <c r="G157" t="inlineStr">
        <is>
          <t>ARBOGA</t>
        </is>
      </c>
      <c r="H157" t="inlineStr">
        <is>
          <t>Kommuner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45109</v>
      </c>
      <c r="E158" s="1" t="n">
        <v>46310</v>
      </c>
      <c r="F158" t="inlineStr">
        <is>
          <t>VÄSTMANLANDS LÄN</t>
        </is>
      </c>
      <c r="G158" t="inlineStr">
        <is>
          <t>ARBOGA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46310</v>
      </c>
      <c r="F159" t="inlineStr">
        <is>
          <t>VÄSTMANLANDS LÄN</t>
        </is>
      </c>
      <c r="G159" t="inlineStr">
        <is>
          <t>ARBOGA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46283</v>
      </c>
      <c r="E160" s="1" t="n">
        <v>46310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46310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46310</v>
      </c>
      <c r="F162" t="inlineStr">
        <is>
          <t>VÄSTMANLANDS LÄN</t>
        </is>
      </c>
      <c r="G162" t="inlineStr">
        <is>
          <t>ARBOGA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44790</v>
      </c>
      <c r="E163" s="1" t="n">
        <v>46310</v>
      </c>
      <c r="F163" t="inlineStr">
        <is>
          <t>VÄSTMANLANDS LÄN</t>
        </is>
      </c>
      <c r="G163" t="inlineStr">
        <is>
          <t>ARBOGA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46310</v>
      </c>
      <c r="F164" t="inlineStr">
        <is>
          <t>VÄSTMANLANDS LÄN</t>
        </is>
      </c>
      <c r="G164" t="inlineStr">
        <is>
          <t>ARBOGA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55188-2022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46310</v>
      </c>
      <c r="F165" t="inlineStr">
        <is>
          <t>VÄSTMANLANDS LÄN</t>
        </is>
      </c>
      <c r="G165" t="inlineStr">
        <is>
          <t>ARBOGA</t>
        </is>
      </c>
      <c r="H165" t="inlineStr">
        <is>
          <t>Allmännings- och besparingsskogar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45230</v>
      </c>
      <c r="E166" s="1" t="n">
        <v>46310</v>
      </c>
      <c r="F166" t="inlineStr">
        <is>
          <t>VÄSTMANLANDS LÄN</t>
        </is>
      </c>
      <c r="G166" t="inlineStr">
        <is>
          <t>ARBOGA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44634</v>
      </c>
      <c r="E167" s="1" t="n">
        <v>46310</v>
      </c>
      <c r="F167" t="inlineStr">
        <is>
          <t>VÄSTMANLANDS LÄN</t>
        </is>
      </c>
      <c r="G167" t="inlineStr">
        <is>
          <t>ARBOGA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46310</v>
      </c>
      <c r="F168" t="inlineStr">
        <is>
          <t>VÄSTMANLANDS LÄN</t>
        </is>
      </c>
      <c r="G168" t="inlineStr">
        <is>
          <t>ARBOGA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46310</v>
      </c>
      <c r="F169" t="inlineStr">
        <is>
          <t>VÄSTMANLANDS LÄN</t>
        </is>
      </c>
      <c r="G169" t="inlineStr">
        <is>
          <t>ARBOGA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46310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46310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9.800000000000001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46132</v>
      </c>
      <c r="E172" s="1" t="n">
        <v>46310</v>
      </c>
      <c r="F172" t="inlineStr">
        <is>
          <t>VÄSTMANLANDS LÄN</t>
        </is>
      </c>
      <c r="G172" t="inlineStr">
        <is>
          <t>ARBOGA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46310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59969-2022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46310</v>
      </c>
      <c r="F174" t="inlineStr">
        <is>
          <t>VÄSTMANLANDS LÄN</t>
        </is>
      </c>
      <c r="G174" t="inlineStr">
        <is>
          <t>ARBOGA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46310</v>
      </c>
      <c r="F175" t="inlineStr">
        <is>
          <t>VÄSTMANLANDS LÄN</t>
        </is>
      </c>
      <c r="G175" t="inlineStr">
        <is>
          <t>ARBOGA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43812-2023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45187</v>
      </c>
      <c r="E176" s="1" t="n">
        <v>46310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46310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46310</v>
      </c>
      <c r="F178" t="inlineStr">
        <is>
          <t>VÄSTMANLANDS LÄN</t>
        </is>
      </c>
      <c r="G178" t="inlineStr">
        <is>
          <t>ARBOGA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46289</v>
      </c>
      <c r="E179" s="1" t="n">
        <v>46310</v>
      </c>
      <c r="F179" t="inlineStr">
        <is>
          <t>VÄSTMANLANDS LÄN</t>
        </is>
      </c>
      <c r="G179" t="inlineStr">
        <is>
          <t>ARBOGA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46289</v>
      </c>
      <c r="E180" s="1" t="n">
        <v>46310</v>
      </c>
      <c r="F180" t="inlineStr">
        <is>
          <t>VÄSTMANLANDS LÄN</t>
        </is>
      </c>
      <c r="G180" t="inlineStr">
        <is>
          <t>ARBOGA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46310</v>
      </c>
      <c r="F181" t="inlineStr">
        <is>
          <t>VÄSTMANLANDS LÄN</t>
        </is>
      </c>
      <c r="G181" t="inlineStr">
        <is>
          <t>ARBOGA</t>
        </is>
      </c>
      <c r="H181" t="inlineStr">
        <is>
          <t>Sveaskog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46310</v>
      </c>
      <c r="F182" t="inlineStr">
        <is>
          <t>VÄSTMANLANDS LÄN</t>
        </is>
      </c>
      <c r="G182" t="inlineStr">
        <is>
          <t>ARBOGA</t>
        </is>
      </c>
      <c r="H182" t="inlineStr">
        <is>
          <t>Sveaskog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46310</v>
      </c>
      <c r="F183" t="inlineStr">
        <is>
          <t>VÄSTMANLANDS LÄN</t>
        </is>
      </c>
      <c r="G183" t="inlineStr">
        <is>
          <t>ARBOGA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46310</v>
      </c>
      <c r="F184" t="inlineStr">
        <is>
          <t>VÄSTMANLANDS LÄN</t>
        </is>
      </c>
      <c r="G184" t="inlineStr">
        <is>
          <t>ARBOGA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46310</v>
      </c>
      <c r="F185" t="inlineStr">
        <is>
          <t>VÄSTMANLANDS LÄN</t>
        </is>
      </c>
      <c r="G185" t="inlineStr">
        <is>
          <t>ARBOGA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46310</v>
      </c>
      <c r="F186" t="inlineStr">
        <is>
          <t>VÄSTMANLANDS LÄN</t>
        </is>
      </c>
      <c r="G186" t="inlineStr">
        <is>
          <t>ARBOGA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69168-2021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46310</v>
      </c>
      <c r="F187" t="inlineStr">
        <is>
          <t>VÄSTMANLANDS LÄN</t>
        </is>
      </c>
      <c r="G187" t="inlineStr">
        <is>
          <t>ARBOGA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46310</v>
      </c>
      <c r="F188" t="inlineStr">
        <is>
          <t>VÄSTMANLANDS LÄN</t>
        </is>
      </c>
      <c r="G188" t="inlineStr">
        <is>
          <t>ARBOGA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46310</v>
      </c>
      <c r="F189" t="inlineStr">
        <is>
          <t>VÄSTMANLANDS LÄN</t>
        </is>
      </c>
      <c r="G189" t="inlineStr">
        <is>
          <t>ARBOGA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46310</v>
      </c>
      <c r="F190" t="inlineStr">
        <is>
          <t>VÄSTMANLANDS LÄN</t>
        </is>
      </c>
      <c r="G190" t="inlineStr">
        <is>
          <t>ARBOGA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46310</v>
      </c>
      <c r="F191" t="inlineStr">
        <is>
          <t>VÄSTMANLANDS LÄN</t>
        </is>
      </c>
      <c r="G191" t="inlineStr">
        <is>
          <t>ARBOGA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46310</v>
      </c>
      <c r="F192" t="inlineStr">
        <is>
          <t>VÄSTMANLANDS LÄN</t>
        </is>
      </c>
      <c r="G192" t="inlineStr">
        <is>
          <t>ARBOGA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46310</v>
      </c>
      <c r="F193" t="inlineStr">
        <is>
          <t>VÄSTMANLANDS LÄN</t>
        </is>
      </c>
      <c r="G193" t="inlineStr">
        <is>
          <t>ARBOGA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35810-2026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46310</v>
      </c>
      <c r="F194" t="inlineStr">
        <is>
          <t>VÄSTMANLANDS LÄN</t>
        </is>
      </c>
      <c r="G194" t="inlineStr">
        <is>
          <t>ARBOGA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2026-10-15T02:04:31Z</dcterms:created>
  <dcterms:modified xmlns:dcterms="http://purl.org/dc/terms/" xmlns:xsi="http://www.w3.org/2001/XMLSchema-instance" xsi:type="dcterms:W3CDTF">2026-10-15T02:04:31Z</dcterms:modified>
</cp:coreProperties>
</file>