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45781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45781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45781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45781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45781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45781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45781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45781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50786-2019</t>
        </is>
      </c>
      <c r="B10" s="1" t="n">
        <v>43738</v>
      </c>
      <c r="C10" s="1" t="n">
        <v>45781</v>
      </c>
      <c r="D10" t="inlineStr">
        <is>
          <t>VÄSTMANLANDS LÄN</t>
        </is>
      </c>
      <c r="E10" t="inlineStr">
        <is>
          <t>ARBOGA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HYPERLINK("https://klasma.github.io/Logging_1984/artfynd/A 50786-2019 artfynd.xlsx", "A 50786-2019")</f>
        <v/>
      </c>
      <c r="T10">
        <f>HYPERLINK("https://klasma.github.io/Logging_1984/kartor/A 50786-2019 karta.png", "A 50786-2019")</f>
        <v/>
      </c>
      <c r="V10">
        <f>HYPERLINK("https://klasma.github.io/Logging_1984/klagomål/A 50786-2019 FSC-klagomål.docx", "A 50786-2019")</f>
        <v/>
      </c>
      <c r="W10">
        <f>HYPERLINK("https://klasma.github.io/Logging_1984/klagomålsmail/A 50786-2019 FSC-klagomål mail.docx", "A 50786-2019")</f>
        <v/>
      </c>
      <c r="X10">
        <f>HYPERLINK("https://klasma.github.io/Logging_1984/tillsyn/A 50786-2019 tillsynsbegäran.docx", "A 50786-2019")</f>
        <v/>
      </c>
      <c r="Y10">
        <f>HYPERLINK("https://klasma.github.io/Logging_1984/tillsynsmail/A 50786-2019 tillsynsbegäran mail.docx", "A 50786-2019")</f>
        <v/>
      </c>
    </row>
    <row r="11" ht="15" customHeight="1">
      <c r="A11" t="inlineStr">
        <is>
          <t>A 10354-2021</t>
        </is>
      </c>
      <c r="B11" s="1" t="n">
        <v>44257</v>
      </c>
      <c r="C11" s="1" t="n">
        <v>45781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3.3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Duvhök</t>
        </is>
      </c>
      <c r="S11">
        <f>HYPERLINK("https://klasma.github.io/Logging_1984/artfynd/A 10354-2021 artfynd.xlsx", "A 10354-2021")</f>
        <v/>
      </c>
      <c r="T11">
        <f>HYPERLINK("https://klasma.github.io/Logging_1984/kartor/A 10354-2021 karta.png", "A 10354-2021")</f>
        <v/>
      </c>
      <c r="V11">
        <f>HYPERLINK("https://klasma.github.io/Logging_1984/klagomål/A 10354-2021 FSC-klagomål.docx", "A 10354-2021")</f>
        <v/>
      </c>
      <c r="W11">
        <f>HYPERLINK("https://klasma.github.io/Logging_1984/klagomålsmail/A 10354-2021 FSC-klagomål mail.docx", "A 10354-2021")</f>
        <v/>
      </c>
      <c r="X11">
        <f>HYPERLINK("https://klasma.github.io/Logging_1984/tillsyn/A 10354-2021 tillsynsbegäran.docx", "A 10354-2021")</f>
        <v/>
      </c>
      <c r="Y11">
        <f>HYPERLINK("https://klasma.github.io/Logging_1984/tillsynsmail/A 10354-2021 tillsynsbegäran mail.docx", "A 10354-2021")</f>
        <v/>
      </c>
      <c r="Z11">
        <f>HYPERLINK("https://klasma.github.io/Logging_1984/fåglar/A 10354-2021 prioriterade fågelarter.docx", "A 10354-2021")</f>
        <v/>
      </c>
    </row>
    <row r="12" ht="15" customHeight="1">
      <c r="A12" t="inlineStr">
        <is>
          <t>A 10364-2021</t>
        </is>
      </c>
      <c r="B12" s="1" t="n">
        <v>44257</v>
      </c>
      <c r="C12" s="1" t="n">
        <v>45781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HYPERLINK("https://klasma.github.io/Logging_1984/artfynd/A 10364-2021 artfynd.xlsx", "A 10364-2021")</f>
        <v/>
      </c>
      <c r="T12">
        <f>HYPERLINK("https://klasma.github.io/Logging_1984/kartor/A 10364-2021 karta.png", "A 10364-2021")</f>
        <v/>
      </c>
      <c r="V12">
        <f>HYPERLINK("https://klasma.github.io/Logging_1984/klagomål/A 10364-2021 FSC-klagomål.docx", "A 10364-2021")</f>
        <v/>
      </c>
      <c r="W12">
        <f>HYPERLINK("https://klasma.github.io/Logging_1984/klagomålsmail/A 10364-2021 FSC-klagomål mail.docx", "A 10364-2021")</f>
        <v/>
      </c>
      <c r="X12">
        <f>HYPERLINK("https://klasma.github.io/Logging_1984/tillsyn/A 10364-2021 tillsynsbegäran.docx", "A 10364-2021")</f>
        <v/>
      </c>
      <c r="Y12">
        <f>HYPERLINK("https://klasma.github.io/Logging_1984/tillsynsmail/A 10364-2021 tillsynsbegäran mail.docx", "A 10364-2021")</f>
        <v/>
      </c>
    </row>
    <row r="13" ht="15" customHeight="1">
      <c r="A13" t="inlineStr">
        <is>
          <t>A 28050-2021</t>
        </is>
      </c>
      <c r="B13" s="1" t="n">
        <v>44355</v>
      </c>
      <c r="C13" s="1" t="n">
        <v>45781</v>
      </c>
      <c r="D13" t="inlineStr">
        <is>
          <t>VÄSTMANLANDS LÄN</t>
        </is>
      </c>
      <c r="E13" t="inlineStr">
        <is>
          <t>ARBOGA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HYPERLINK("https://klasma.github.io/Logging_1984/artfynd/A 28050-2021 artfynd.xlsx", "A 28050-2021")</f>
        <v/>
      </c>
      <c r="T13">
        <f>HYPERLINK("https://klasma.github.io/Logging_1984/kartor/A 28050-2021 karta.png", "A 28050-2021")</f>
        <v/>
      </c>
      <c r="V13">
        <f>HYPERLINK("https://klasma.github.io/Logging_1984/klagomål/A 28050-2021 FSC-klagomål.docx", "A 28050-2021")</f>
        <v/>
      </c>
      <c r="W13">
        <f>HYPERLINK("https://klasma.github.io/Logging_1984/klagomålsmail/A 28050-2021 FSC-klagomål mail.docx", "A 28050-2021")</f>
        <v/>
      </c>
      <c r="X13">
        <f>HYPERLINK("https://klasma.github.io/Logging_1984/tillsyn/A 28050-2021 tillsynsbegäran.docx", "A 28050-2021")</f>
        <v/>
      </c>
      <c r="Y13">
        <f>HYPERLINK("https://klasma.github.io/Logging_1984/tillsynsmail/A 28050-2021 tillsynsbegäran mail.docx", "A 28050-2021")</f>
        <v/>
      </c>
    </row>
    <row r="14" ht="15" customHeight="1">
      <c r="A14" t="inlineStr">
        <is>
          <t>A 48234-2022</t>
        </is>
      </c>
      <c r="B14" s="1" t="n">
        <v>44858</v>
      </c>
      <c r="C14" s="1" t="n">
        <v>45781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21.4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HYPERLINK("https://klasma.github.io/Logging_1984/artfynd/A 48234-2022 artfynd.xlsx", "A 48234-2022")</f>
        <v/>
      </c>
      <c r="T14">
        <f>HYPERLINK("https://klasma.github.io/Logging_1984/kartor/A 48234-2022 karta.png", "A 48234-2022")</f>
        <v/>
      </c>
      <c r="V14">
        <f>HYPERLINK("https://klasma.github.io/Logging_1984/klagomål/A 48234-2022 FSC-klagomål.docx", "A 48234-2022")</f>
        <v/>
      </c>
      <c r="W14">
        <f>HYPERLINK("https://klasma.github.io/Logging_1984/klagomålsmail/A 48234-2022 FSC-klagomål mail.docx", "A 48234-2022")</f>
        <v/>
      </c>
      <c r="X14">
        <f>HYPERLINK("https://klasma.github.io/Logging_1984/tillsyn/A 48234-2022 tillsynsbegäran.docx", "A 48234-2022")</f>
        <v/>
      </c>
      <c r="Y14">
        <f>HYPERLINK("https://klasma.github.io/Logging_1984/tillsynsmail/A 48234-2022 tillsynsbegäran mail.docx", "A 48234-2022")</f>
        <v/>
      </c>
    </row>
    <row r="15" ht="15" customHeight="1">
      <c r="A15" t="inlineStr">
        <is>
          <t>A 61435-2022</t>
        </is>
      </c>
      <c r="B15" s="1" t="n">
        <v>44916</v>
      </c>
      <c r="C15" s="1" t="n">
        <v>45781</v>
      </c>
      <c r="D15" t="inlineStr">
        <is>
          <t>VÄSTMANLANDS LÄN</t>
        </is>
      </c>
      <c r="E15" t="inlineStr">
        <is>
          <t>ARBOGA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61435-2022 artfynd.xlsx", "A 61435-2022")</f>
        <v/>
      </c>
      <c r="T15">
        <f>HYPERLINK("https://klasma.github.io/Logging_1984/kartor/A 61435-2022 karta.png", "A 61435-2022")</f>
        <v/>
      </c>
      <c r="V15">
        <f>HYPERLINK("https://klasma.github.io/Logging_1984/klagomål/A 61435-2022 FSC-klagomål.docx", "A 61435-2022")</f>
        <v/>
      </c>
      <c r="W15">
        <f>HYPERLINK("https://klasma.github.io/Logging_1984/klagomålsmail/A 61435-2022 FSC-klagomål mail.docx", "A 61435-2022")</f>
        <v/>
      </c>
      <c r="X15">
        <f>HYPERLINK("https://klasma.github.io/Logging_1984/tillsyn/A 61435-2022 tillsynsbegäran.docx", "A 61435-2022")</f>
        <v/>
      </c>
      <c r="Y15">
        <f>HYPERLINK("https://klasma.github.io/Logging_1984/tillsynsmail/A 61435-2022 tillsynsbegäran mail.docx", "A 61435-2022")</f>
        <v/>
      </c>
    </row>
    <row r="16" ht="15" customHeight="1">
      <c r="A16" t="inlineStr">
        <is>
          <t>A 43802-2023</t>
        </is>
      </c>
      <c r="B16" s="1" t="n">
        <v>45187</v>
      </c>
      <c r="C16" s="1" t="n">
        <v>45781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HYPERLINK("https://klasma.github.io/Logging_1984/artfynd/A 43802-2023 artfynd.xlsx", "A 43802-2023")</f>
        <v/>
      </c>
      <c r="T16">
        <f>HYPERLINK("https://klasma.github.io/Logging_1984/kartor/A 43802-2023 karta.png", "A 43802-2023")</f>
        <v/>
      </c>
      <c r="V16">
        <f>HYPERLINK("https://klasma.github.io/Logging_1984/klagomål/A 43802-2023 FSC-klagomål.docx", "A 43802-2023")</f>
        <v/>
      </c>
      <c r="W16">
        <f>HYPERLINK("https://klasma.github.io/Logging_1984/klagomålsmail/A 43802-2023 FSC-klagomål mail.docx", "A 43802-2023")</f>
        <v/>
      </c>
      <c r="X16">
        <f>HYPERLINK("https://klasma.github.io/Logging_1984/tillsyn/A 43802-2023 tillsynsbegäran.docx", "A 43802-2023")</f>
        <v/>
      </c>
      <c r="Y16">
        <f>HYPERLINK("https://klasma.github.io/Logging_1984/tillsynsmail/A 43802-2023 tillsynsbegäran mail.docx", "A 43802-2023")</f>
        <v/>
      </c>
    </row>
    <row r="17" ht="15" customHeight="1">
      <c r="A17" t="inlineStr">
        <is>
          <t>A 18495-2024</t>
        </is>
      </c>
      <c r="B17" s="1" t="n">
        <v>45425</v>
      </c>
      <c r="C17" s="1" t="n">
        <v>45781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HYPERLINK("https://klasma.github.io/Logging_1984/artfynd/A 18495-2024 artfynd.xlsx", "A 18495-2024")</f>
        <v/>
      </c>
      <c r="T17">
        <f>HYPERLINK("https://klasma.github.io/Logging_1984/kartor/A 18495-2024 karta.png", "A 18495-2024")</f>
        <v/>
      </c>
      <c r="V17">
        <f>HYPERLINK("https://klasma.github.io/Logging_1984/klagomål/A 18495-2024 FSC-klagomål.docx", "A 18495-2024")</f>
        <v/>
      </c>
      <c r="W17">
        <f>HYPERLINK("https://klasma.github.io/Logging_1984/klagomålsmail/A 18495-2024 FSC-klagomål mail.docx", "A 18495-2024")</f>
        <v/>
      </c>
      <c r="X17">
        <f>HYPERLINK("https://klasma.github.io/Logging_1984/tillsyn/A 18495-2024 tillsynsbegäran.docx", "A 18495-2024")</f>
        <v/>
      </c>
      <c r="Y17">
        <f>HYPERLINK("https://klasma.github.io/Logging_1984/tillsynsmail/A 18495-2024 tillsynsbegäran mail.docx", "A 18495-2024")</f>
        <v/>
      </c>
    </row>
    <row r="18" ht="15" customHeight="1">
      <c r="A18" t="inlineStr">
        <is>
          <t>A 20064-2024</t>
        </is>
      </c>
      <c r="B18" s="1" t="n">
        <v>45434</v>
      </c>
      <c r="C18" s="1" t="n">
        <v>45781</v>
      </c>
      <c r="D18" t="inlineStr">
        <is>
          <t>VÄSTMANLANDS LÄN</t>
        </is>
      </c>
      <c r="E18" t="inlineStr">
        <is>
          <t>ARBOGA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HYPERLINK("https://klasma.github.io/Logging_1984/artfynd/A 20064-2024 artfynd.xlsx", "A 20064-2024")</f>
        <v/>
      </c>
      <c r="T18">
        <f>HYPERLINK("https://klasma.github.io/Logging_1984/kartor/A 20064-2024 karta.png", "A 20064-2024")</f>
        <v/>
      </c>
      <c r="V18">
        <f>HYPERLINK("https://klasma.github.io/Logging_1984/klagomål/A 20064-2024 FSC-klagomål.docx", "A 20064-2024")</f>
        <v/>
      </c>
      <c r="W18">
        <f>HYPERLINK("https://klasma.github.io/Logging_1984/klagomålsmail/A 20064-2024 FSC-klagomål mail.docx", "A 20064-2024")</f>
        <v/>
      </c>
      <c r="X18">
        <f>HYPERLINK("https://klasma.github.io/Logging_1984/tillsyn/A 20064-2024 tillsynsbegäran.docx", "A 20064-2024")</f>
        <v/>
      </c>
      <c r="Y18">
        <f>HYPERLINK("https://klasma.github.io/Logging_1984/tillsynsmail/A 20064-2024 tillsynsbegäran mail.docx", "A 20064-2024")</f>
        <v/>
      </c>
    </row>
    <row r="19" ht="15" customHeight="1">
      <c r="A19" t="inlineStr">
        <is>
          <t>A 51947-2024</t>
        </is>
      </c>
      <c r="B19" s="1" t="n">
        <v>45607</v>
      </c>
      <c r="C19" s="1" t="n">
        <v>45781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HYPERLINK("https://klasma.github.io/Logging_1984/artfynd/A 51947-2024 artfynd.xlsx", "A 51947-2024")</f>
        <v/>
      </c>
      <c r="T19">
        <f>HYPERLINK("https://klasma.github.io/Logging_1984/kartor/A 51947-2024 karta.png", "A 51947-2024")</f>
        <v/>
      </c>
      <c r="V19">
        <f>HYPERLINK("https://klasma.github.io/Logging_1984/klagomål/A 51947-2024 FSC-klagomål.docx", "A 51947-2024")</f>
        <v/>
      </c>
      <c r="W19">
        <f>HYPERLINK("https://klasma.github.io/Logging_1984/klagomålsmail/A 51947-2024 FSC-klagomål mail.docx", "A 51947-2024")</f>
        <v/>
      </c>
      <c r="X19">
        <f>HYPERLINK("https://klasma.github.io/Logging_1984/tillsyn/A 51947-2024 tillsynsbegäran.docx", "A 51947-2024")</f>
        <v/>
      </c>
      <c r="Y19">
        <f>HYPERLINK("https://klasma.github.io/Logging_1984/tillsynsmail/A 51947-2024 tillsynsbegäran mail.docx", "A 51947-2024")</f>
        <v/>
      </c>
    </row>
    <row r="20" ht="15" customHeight="1">
      <c r="A20" t="inlineStr">
        <is>
          <t>A 20057-2019</t>
        </is>
      </c>
      <c r="B20" s="1" t="n">
        <v>43570</v>
      </c>
      <c r="C20" s="1" t="n">
        <v>45781</v>
      </c>
      <c r="D20" t="inlineStr">
        <is>
          <t>VÄSTMANLANDS LÄN</t>
        </is>
      </c>
      <c r="E20" t="inlineStr">
        <is>
          <t>ARBOGA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20171-2019</t>
        </is>
      </c>
      <c r="B21" s="1" t="n">
        <v>43570</v>
      </c>
      <c r="C21" s="1" t="n">
        <v>45781</v>
      </c>
      <c r="D21" t="inlineStr">
        <is>
          <t>VÄSTMANLANDS LÄN</t>
        </is>
      </c>
      <c r="E21" t="inlineStr">
        <is>
          <t>ARBOGA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20151-2019</t>
        </is>
      </c>
      <c r="B22" s="1" t="n">
        <v>43570</v>
      </c>
      <c r="C22" s="1" t="n">
        <v>45781</v>
      </c>
      <c r="D22" t="inlineStr">
        <is>
          <t>VÄSTMANLANDS LÄN</t>
        </is>
      </c>
      <c r="E22" t="inlineStr">
        <is>
          <t>ARBOGA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20474-2019</t>
        </is>
      </c>
      <c r="B23" s="1" t="n">
        <v>43572</v>
      </c>
      <c r="C23" s="1" t="n">
        <v>45781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20627-2019</t>
        </is>
      </c>
      <c r="B24" s="1" t="n">
        <v>43572</v>
      </c>
      <c r="C24" s="1" t="n">
        <v>45781</v>
      </c>
      <c r="D24" t="inlineStr">
        <is>
          <t>VÄSTMANLANDS LÄN</t>
        </is>
      </c>
      <c r="E24" t="inlineStr">
        <is>
          <t>ARBOGA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20721-2019</t>
        </is>
      </c>
      <c r="B25" s="1" t="n">
        <v>43573</v>
      </c>
      <c r="C25" s="1" t="n">
        <v>45781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20834-2019</t>
        </is>
      </c>
      <c r="B26" s="1" t="n">
        <v>43575</v>
      </c>
      <c r="C26" s="1" t="n">
        <v>45781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9.800000000000001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20849-2019</t>
        </is>
      </c>
      <c r="B27" s="1" t="n">
        <v>43577</v>
      </c>
      <c r="C27" s="1" t="n">
        <v>45781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20.6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20879-2019</t>
        </is>
      </c>
      <c r="B28" s="1" t="n">
        <v>43578</v>
      </c>
      <c r="C28" s="1" t="n">
        <v>45781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21205-2019</t>
        </is>
      </c>
      <c r="B29" s="1" t="n">
        <v>43579</v>
      </c>
      <c r="C29" s="1" t="n">
        <v>45781</v>
      </c>
      <c r="D29" t="inlineStr">
        <is>
          <t>VÄSTMANLANDS LÄN</t>
        </is>
      </c>
      <c r="E29" t="inlineStr">
        <is>
          <t>ARBOGA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22972-2019</t>
        </is>
      </c>
      <c r="B30" s="1" t="n">
        <v>43591</v>
      </c>
      <c r="C30" s="1" t="n">
        <v>45781</v>
      </c>
      <c r="D30" t="inlineStr">
        <is>
          <t>VÄSTMANLANDS LÄN</t>
        </is>
      </c>
      <c r="E30" t="inlineStr">
        <is>
          <t>ARBOGA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24071-2019</t>
        </is>
      </c>
      <c r="B31" s="1" t="n">
        <v>43598</v>
      </c>
      <c r="C31" s="1" t="n">
        <v>45781</v>
      </c>
      <c r="D31" t="inlineStr">
        <is>
          <t>VÄSTMANLANDS LÄN</t>
        </is>
      </c>
      <c r="E31" t="inlineStr">
        <is>
          <t>ARBOGA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25882-2019</t>
        </is>
      </c>
      <c r="B32" s="1" t="n">
        <v>43608</v>
      </c>
      <c r="C32" s="1" t="n">
        <v>45781</v>
      </c>
      <c r="D32" t="inlineStr">
        <is>
          <t>VÄSTMANLANDS LÄN</t>
        </is>
      </c>
      <c r="E32" t="inlineStr">
        <is>
          <t>ARBOGA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26593-2019</t>
        </is>
      </c>
      <c r="B33" s="1" t="n">
        <v>43612</v>
      </c>
      <c r="C33" s="1" t="n">
        <v>45781</v>
      </c>
      <c r="D33" t="inlineStr">
        <is>
          <t>VÄSTMANLANDS LÄN</t>
        </is>
      </c>
      <c r="E33" t="inlineStr">
        <is>
          <t>ARBOGA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26656-2019</t>
        </is>
      </c>
      <c r="B34" s="1" t="n">
        <v>43613</v>
      </c>
      <c r="C34" s="1" t="n">
        <v>45781</v>
      </c>
      <c r="D34" t="inlineStr">
        <is>
          <t>VÄSTMANLANDS LÄN</t>
        </is>
      </c>
      <c r="E34" t="inlineStr">
        <is>
          <t>ARBOGA</t>
        </is>
      </c>
      <c r="F34" t="inlineStr">
        <is>
          <t>Allmännings- och besparingsskogar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28365-2019</t>
        </is>
      </c>
      <c r="B35" s="1" t="n">
        <v>43625</v>
      </c>
      <c r="C35" s="1" t="n">
        <v>45781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38479-2019</t>
        </is>
      </c>
      <c r="B36" s="1" t="n">
        <v>43685</v>
      </c>
      <c r="C36" s="1" t="n">
        <v>45781</v>
      </c>
      <c r="D36" t="inlineStr">
        <is>
          <t>VÄSTMANLANDS LÄN</t>
        </is>
      </c>
      <c r="E36" t="inlineStr">
        <is>
          <t>ARBOGA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39088-2019</t>
        </is>
      </c>
      <c r="B37" s="1" t="n">
        <v>43689</v>
      </c>
      <c r="C37" s="1" t="n">
        <v>45781</v>
      </c>
      <c r="D37" t="inlineStr">
        <is>
          <t>VÄSTMANLANDS LÄN</t>
        </is>
      </c>
      <c r="E37" t="inlineStr">
        <is>
          <t>ARBOGA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39231-2019</t>
        </is>
      </c>
      <c r="B38" s="1" t="n">
        <v>43690</v>
      </c>
      <c r="C38" s="1" t="n">
        <v>45781</v>
      </c>
      <c r="D38" t="inlineStr">
        <is>
          <t>VÄSTMANLANDS LÄN</t>
        </is>
      </c>
      <c r="E38" t="inlineStr">
        <is>
          <t>ARBOGA</t>
        </is>
      </c>
      <c r="G38" t="n">
        <v>22.7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42003-2019</t>
        </is>
      </c>
      <c r="B39" s="1" t="n">
        <v>43700</v>
      </c>
      <c r="C39" s="1" t="n">
        <v>45781</v>
      </c>
      <c r="D39" t="inlineStr">
        <is>
          <t>VÄSTMANLANDS LÄN</t>
        </is>
      </c>
      <c r="E39" t="inlineStr">
        <is>
          <t>ARBOGA</t>
        </is>
      </c>
      <c r="F39" t="inlineStr">
        <is>
          <t>Sveaskog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43724-2019</t>
        </is>
      </c>
      <c r="B40" s="1" t="n">
        <v>43707</v>
      </c>
      <c r="C40" s="1" t="n">
        <v>45781</v>
      </c>
      <c r="D40" t="inlineStr">
        <is>
          <t>VÄSTMANLANDS LÄN</t>
        </is>
      </c>
      <c r="E40" t="inlineStr">
        <is>
          <t>ARBOGA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45494-2019</t>
        </is>
      </c>
      <c r="B41" s="1" t="n">
        <v>43714</v>
      </c>
      <c r="C41" s="1" t="n">
        <v>45781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45880-2019</t>
        </is>
      </c>
      <c r="B42" s="1" t="n">
        <v>43717</v>
      </c>
      <c r="C42" s="1" t="n">
        <v>45781</v>
      </c>
      <c r="D42" t="inlineStr">
        <is>
          <t>VÄSTMANLANDS LÄN</t>
        </is>
      </c>
      <c r="E42" t="inlineStr">
        <is>
          <t>ARBOGA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46607-2019</t>
        </is>
      </c>
      <c r="B43" s="1" t="n">
        <v>43719</v>
      </c>
      <c r="C43" s="1" t="n">
        <v>45781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45781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45781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45781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45781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45781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45781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45781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45781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45781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45781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45781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45781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45781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45781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45781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45781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45781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45781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45781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45781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45781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45781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45781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45781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45781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45781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45781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45781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45781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45781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45781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45781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45781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45781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45781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45781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45781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45781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45781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45781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45781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45781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45781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45781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45781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45781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45781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45781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45781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45781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45781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45781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45781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45781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45781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45781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45781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45781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45781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45781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45781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45781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45781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45781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45781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45781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45781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45781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45781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45781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45781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45781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45781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45781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45781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45781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45781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45781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45781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45781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45781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45781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45781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45781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45781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45781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45781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45781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45781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45781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45781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45781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45781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45781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45781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45781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45781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45781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45781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45781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45781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45781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45781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45781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45781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45781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45781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45781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45781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45781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45781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45781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45781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45781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45781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45781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45781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45781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45781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45781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45781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45781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45781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45781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45781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45781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45781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45781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45781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45781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45781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45781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45781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45781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45781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45781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45781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45781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45781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45781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45781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45781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45781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45781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45781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45781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45781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45781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45781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45781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45781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45781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45781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45781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45781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45781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45781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45781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45781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45781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45781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45781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45781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45781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45781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45781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45781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45781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45781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45781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45781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45781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45781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45781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45781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45781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45781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45781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45781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45781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45781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45781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45781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45781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45781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45781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45781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45781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45781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45781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45781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45781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45781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45781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45781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45781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45781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45781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45781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45781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45781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45781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45781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45781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45781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45781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45781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45781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45781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45781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45781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45781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45781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45781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45781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45781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45781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45781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45781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45781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45781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45781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45781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45781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45781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45781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45781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45781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45781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45781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45781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45781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45781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45781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45781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45781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45781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45781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45781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45781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45781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45781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45781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45781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45781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45781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45781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45781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45781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45781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45781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45781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45781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45781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45781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45781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45781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45781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45781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45781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45781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45781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45781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45781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45781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45781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45781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45781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45781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45781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45781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45781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45781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45781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45781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45781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45781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45781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45781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45781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45781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45781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45781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45781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45781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45781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45781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45781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45781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45781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45781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45781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45781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45781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45781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45781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45781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45781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45781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45781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45781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45781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45781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45781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45781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45781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45781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45781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45781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45781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45781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45781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45781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45781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45781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45781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45781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45781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45781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45781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45781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45781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45781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45781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45781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45781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45781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45781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45781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45781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45781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45781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45781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45781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45781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45781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45781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45781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45781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45781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45781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45781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45781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45781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45781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45781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45781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45781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45781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45781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45781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45781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45781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45781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19015-2025</t>
        </is>
      </c>
      <c r="B398" s="1" t="n">
        <v>45764</v>
      </c>
      <c r="C398" s="1" t="n">
        <v>45781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2025-05-04T21:29:49Z</dcterms:created>
  <dcterms:modified xmlns:dcterms="http://purl.org/dc/terms/" xmlns:xsi="http://www.w3.org/2001/XMLSchema-instance" xsi:type="dcterms:W3CDTF">2025-05-04T21:29:49Z</dcterms:modified>
</cp:coreProperties>
</file>