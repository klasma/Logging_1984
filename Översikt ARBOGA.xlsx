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46221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46221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Koralltaggsvamp
Fällmossa
Rävticka</t>
        </is>
      </c>
      <c r="V6">
        <f>HYPERLINK("https://klasma.github.io/Logging_1984/artfynd/A 944-2025 artfynd.xlsx", "A 944-2025")</f>
        <v/>
      </c>
      <c r="W6">
        <f>HYPERLINK("https://klasma.github.io/Logging_1984/kartor/A 944-2025 karta.png", "A 944-2025")</f>
        <v/>
      </c>
      <c r="Y6">
        <f>HYPERLINK("https://klasma.github.io/Logging_1984/klagomål/A 944-2025 FSC-klagomål.docx", "A 944-2025")</f>
        <v/>
      </c>
      <c r="Z6">
        <f>HYPERLINK("https://klasma.github.io/Logging_1984/klagomålsmail/A 944-2025 FSC-klagomål mail.docx", "A 944-2025")</f>
        <v/>
      </c>
      <c r="AA6">
        <f>HYPERLINK("https://klasma.github.io/Logging_1984/tillsyn/A 944-2025 tillsynsbegäran.docx", "A 944-2025")</f>
        <v/>
      </c>
      <c r="AB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Blåsippa
Getrams
Humleblomster</t>
        </is>
      </c>
      <c r="V7">
        <f>HYPERLINK("https://klasma.github.io/Logging_1984/artfynd/A 26044-2025 artfynd.xlsx", "A 26044-2025")</f>
        <v/>
      </c>
      <c r="W7">
        <f>HYPERLINK("https://klasma.github.io/Logging_1984/kartor/A 26044-2025 karta.png", "A 26044-2025")</f>
        <v/>
      </c>
      <c r="Y7">
        <f>HYPERLINK("https://klasma.github.io/Logging_1984/klagomål/A 26044-2025 FSC-klagomål.docx", "A 26044-2025")</f>
        <v/>
      </c>
      <c r="Z7">
        <f>HYPERLINK("https://klasma.github.io/Logging_1984/klagomålsmail/A 26044-2025 FSC-klagomål mail.docx", "A 26044-2025")</f>
        <v/>
      </c>
      <c r="AA7">
        <f>HYPERLINK("https://klasma.github.io/Logging_1984/tillsyn/A 26044-2025 tillsynsbegäran.docx", "A 26044-2025")</f>
        <v/>
      </c>
      <c r="AB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46221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Y8">
        <f>HYPERLINK("https://klasma.github.io/Logging_1984/klagomål/A 20064-2024 FSC-klagomål.docx", "A 20064-2024")</f>
        <v/>
      </c>
      <c r="Z8">
        <f>HYPERLINK("https://klasma.github.io/Logging_1984/klagomålsmail/A 20064-2024 FSC-klagomål mail.docx", "A 20064-2024")</f>
        <v/>
      </c>
      <c r="AA8">
        <f>HYPERLINK("https://klasma.github.io/Logging_1984/tillsyn/A 20064-2024 tillsynsbegäran.docx", "A 20064-2024")</f>
        <v/>
      </c>
      <c r="AB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46221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Y9">
        <f>HYPERLINK("https://klasma.github.io/Logging_1984/klagomål/A 46674-2023 FSC-klagomål.docx", "A 46674-2023")</f>
        <v/>
      </c>
      <c r="Z9">
        <f>HYPERLINK("https://klasma.github.io/Logging_1984/klagomålsmail/A 46674-2023 FSC-klagomål mail.docx", "A 46674-2023")</f>
        <v/>
      </c>
      <c r="AA9">
        <f>HYPERLINK("https://klasma.github.io/Logging_1984/tillsyn/A 46674-2023 tillsynsbegäran.docx", "A 46674-2023")</f>
        <v/>
      </c>
      <c r="AB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Vitsippa</t>
        </is>
      </c>
      <c r="V11">
        <f>HYPERLINK("https://klasma.github.io/Logging_1984/artfynd/A 64461-2021 artfynd.xlsx", "A 64461-2021")</f>
        <v/>
      </c>
      <c r="W11">
        <f>HYPERLINK("https://klasma.github.io/Logging_1984/kartor/A 64461-2021 karta.png", "A 64461-2021")</f>
        <v/>
      </c>
      <c r="Y11">
        <f>HYPERLINK("https://klasma.github.io/Logging_1984/klagomål/A 64461-2021 FSC-klagomål.docx", "A 64461-2021")</f>
        <v/>
      </c>
      <c r="Z11">
        <f>HYPERLINK("https://klasma.github.io/Logging_1984/klagomålsmail/A 64461-2021 FSC-klagomål mail.docx", "A 64461-2021")</f>
        <v/>
      </c>
      <c r="AA11">
        <f>HYPERLINK("https://klasma.github.io/Logging_1984/tillsyn/A 64461-2021 tillsynsbegäran.docx", "A 64461-2021")</f>
        <v/>
      </c>
      <c r="AB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46221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Scharlakansskål</t>
        </is>
      </c>
      <c r="V12">
        <f>HYPERLINK("https://klasma.github.io/Logging_1984/artfynd/A 56463-2024 artfynd.xlsx", "A 56463-2024")</f>
        <v/>
      </c>
      <c r="W12">
        <f>HYPERLINK("https://klasma.github.io/Logging_1984/kartor/A 56463-2024 karta.png", "A 56463-2024")</f>
        <v/>
      </c>
      <c r="Y12">
        <f>HYPERLINK("https://klasma.github.io/Logging_1984/klagomål/A 56463-2024 FSC-klagomål.docx", "A 56463-2024")</f>
        <v/>
      </c>
      <c r="Z12">
        <f>HYPERLINK("https://klasma.github.io/Logging_1984/klagomålsmail/A 56463-2024 FSC-klagomål mail.docx", "A 56463-2024")</f>
        <v/>
      </c>
      <c r="AA12">
        <f>HYPERLINK("https://klasma.github.io/Logging_1984/tillsyn/A 56463-2024 tillsynsbegäran.docx", "A 56463-2024")</f>
        <v/>
      </c>
      <c r="AB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46221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Bred kärrtrollslända</t>
        </is>
      </c>
      <c r="V13">
        <f>HYPERLINK("https://klasma.github.io/Logging_1984/artfynd/A 26128-2026 artfynd.xlsx", "A 26128-2026")</f>
        <v/>
      </c>
      <c r="W13">
        <f>HYPERLINK("https://klasma.github.io/Logging_1984/kartor/A 26128-2026 karta.png", "A 26128-2026")</f>
        <v/>
      </c>
      <c r="Y13">
        <f>HYPERLINK("https://klasma.github.io/Logging_1984/klagomål/A 26128-2026 FSC-klagomål.docx", "A 26128-2026")</f>
        <v/>
      </c>
      <c r="Z13">
        <f>HYPERLINK("https://klasma.github.io/Logging_1984/klagomålsmail/A 26128-2026 FSC-klagomål mail.docx", "A 26128-2026")</f>
        <v/>
      </c>
      <c r="AA13">
        <f>HYPERLINK("https://klasma.github.io/Logging_1984/tillsyn/A 26128-2026 tillsynsbegäran.docx", "A 26128-2026")</f>
        <v/>
      </c>
      <c r="AB13">
        <f>HYPERLINK("https://klasma.github.io/Logging_1984/tillsynsmail/A 26128-2026 tillsynsbegäran mail.docx", "A 26128-2026")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46221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46221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46221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46221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46221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46221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46221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46221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46221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46221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46221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46221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46221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46221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46221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46221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46221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46221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46221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46221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46221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46221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6666-2024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45341</v>
      </c>
      <c r="E36" s="1" t="n">
        <v>46221</v>
      </c>
      <c r="F36" t="inlineStr">
        <is>
          <t>VÄSTMANLANDS LÄN</t>
        </is>
      </c>
      <c r="G36" t="inlineStr">
        <is>
          <t>ARBOGA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46221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46221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46221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12405-2024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46221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46221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46221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46221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46221</v>
      </c>
      <c r="F44" t="inlineStr">
        <is>
          <t>VÄSTMANLANDS LÄN</t>
        </is>
      </c>
      <c r="G44" t="inlineStr">
        <is>
          <t>ARBOGA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46221</v>
      </c>
      <c r="F45" t="inlineStr">
        <is>
          <t>VÄSTMANLANDS LÄN</t>
        </is>
      </c>
      <c r="G45" t="inlineStr">
        <is>
          <t>ARBOGA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46221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68237-2021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46221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44671</v>
      </c>
      <c r="E48" s="1" t="n">
        <v>46221</v>
      </c>
      <c r="F48" t="inlineStr">
        <is>
          <t>VÄSTMANLANDS LÄN</t>
        </is>
      </c>
      <c r="G48" t="inlineStr">
        <is>
          <t>ARBOGA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46221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46221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46221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46221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9247-2024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45358</v>
      </c>
      <c r="E53" s="1" t="n">
        <v>46221</v>
      </c>
      <c r="F53" t="inlineStr">
        <is>
          <t>VÄSTMANLANDS LÄN</t>
        </is>
      </c>
      <c r="G53" t="inlineStr">
        <is>
          <t>ARBOGA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46221</v>
      </c>
      <c r="F54" t="inlineStr">
        <is>
          <t>VÄSTMANLANDS LÄN</t>
        </is>
      </c>
      <c r="G54" t="inlineStr">
        <is>
          <t>ARBOGA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50007-2021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46221</v>
      </c>
      <c r="F55" t="inlineStr">
        <is>
          <t>VÄSTMANLANDS LÄN</t>
        </is>
      </c>
      <c r="G55" t="inlineStr">
        <is>
          <t>ARBOGA</t>
        </is>
      </c>
      <c r="H55" t="inlineStr">
        <is>
          <t>Allmännings- och besparingsskogar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13595-2023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45006</v>
      </c>
      <c r="E56" s="1" t="n">
        <v>46221</v>
      </c>
      <c r="F56" t="inlineStr">
        <is>
          <t>VÄSTMANLANDS LÄN</t>
        </is>
      </c>
      <c r="G56" t="inlineStr">
        <is>
          <t>ARBOGA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43812-2023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45187</v>
      </c>
      <c r="E57" s="1" t="n">
        <v>46221</v>
      </c>
      <c r="F57" t="inlineStr">
        <is>
          <t>VÄSTMANLANDS LÄN</t>
        </is>
      </c>
      <c r="G57" t="inlineStr">
        <is>
          <t>ARBOGA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46221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46221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46221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45154-2025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46221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46221</v>
      </c>
      <c r="F62" t="inlineStr">
        <is>
          <t>VÄSTMANLANDS LÄN</t>
        </is>
      </c>
      <c r="G62" t="inlineStr">
        <is>
          <t>ARBOGA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59970-2022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46221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46221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46221</v>
      </c>
      <c r="F65" t="inlineStr">
        <is>
          <t>VÄSTMANLANDS LÄN</t>
        </is>
      </c>
      <c r="G65" t="inlineStr">
        <is>
          <t>ARBOGA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32275-2024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45512</v>
      </c>
      <c r="E66" s="1" t="n">
        <v>46221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46221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46221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46221</v>
      </c>
      <c r="F69" t="inlineStr">
        <is>
          <t>VÄSTMANLANDS LÄN</t>
        </is>
      </c>
      <c r="G69" t="inlineStr">
        <is>
          <t>ARBOGA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46221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38785-2021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44410</v>
      </c>
      <c r="E71" s="1" t="n">
        <v>46221</v>
      </c>
      <c r="F71" t="inlineStr">
        <is>
          <t>VÄSTMANLANDS LÄN</t>
        </is>
      </c>
      <c r="G71" t="inlineStr">
        <is>
          <t>ARBOGA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46221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46221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45797-2022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46221</v>
      </c>
      <c r="F74" t="inlineStr">
        <is>
          <t>VÄSTMANLANDS LÄN</t>
        </is>
      </c>
      <c r="G74" t="inlineStr">
        <is>
          <t>ARBOGA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10698-2026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46221</v>
      </c>
      <c r="F75" t="inlineStr">
        <is>
          <t>VÄSTMANLANDS LÄN</t>
        </is>
      </c>
      <c r="G75" t="inlineStr">
        <is>
          <t>ARBOGA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30323-2023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46221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46221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10665-2026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46221</v>
      </c>
      <c r="F78" t="inlineStr">
        <is>
          <t>VÄSTMANLANDS LÄN</t>
        </is>
      </c>
      <c r="G78" t="inlineStr">
        <is>
          <t>ARBOGA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46221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58194-2025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45983</v>
      </c>
      <c r="E80" s="1" t="n">
        <v>46221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58196-2025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46221</v>
      </c>
      <c r="F81" t="inlineStr">
        <is>
          <t>VÄSTMANLANDS LÄN</t>
        </is>
      </c>
      <c r="G81" t="inlineStr">
        <is>
          <t>ARBOGA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46221</v>
      </c>
      <c r="F82" t="inlineStr">
        <is>
          <t>VÄSTMANLANDS LÄN</t>
        </is>
      </c>
      <c r="G82" t="inlineStr">
        <is>
          <t>ARBOGA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38066-2021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44404</v>
      </c>
      <c r="E83" s="1" t="n">
        <v>46221</v>
      </c>
      <c r="F83" t="inlineStr">
        <is>
          <t>VÄSTMANLANDS LÄN</t>
        </is>
      </c>
      <c r="G83" t="inlineStr">
        <is>
          <t>ARBOGA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60880-2025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46221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46221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61892-2022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46221</v>
      </c>
      <c r="F86" t="inlineStr">
        <is>
          <t>VÄSTMANLANDS LÄN</t>
        </is>
      </c>
      <c r="G86" t="inlineStr">
        <is>
          <t>ARBOGA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46221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46221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61394-2023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45264</v>
      </c>
      <c r="E89" s="1" t="n">
        <v>46221</v>
      </c>
      <c r="F89" t="inlineStr">
        <is>
          <t>VÄSTMANLANDS LÄN</t>
        </is>
      </c>
      <c r="G89" t="inlineStr">
        <is>
          <t>ARBOGA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46221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46221</v>
      </c>
      <c r="F91" t="inlineStr">
        <is>
          <t>VÄSTMANLANDS LÄN</t>
        </is>
      </c>
      <c r="G91" t="inlineStr">
        <is>
          <t>ARBOGA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46030</v>
      </c>
      <c r="E92" s="1" t="n">
        <v>46221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46221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46221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46221</v>
      </c>
      <c r="F95" t="inlineStr">
        <is>
          <t>VÄSTMANLANDS LÄN</t>
        </is>
      </c>
      <c r="G95" t="inlineStr">
        <is>
          <t>ARBOGA</t>
        </is>
      </c>
      <c r="H95" t="inlineStr">
        <is>
          <t>Allmännings- och besparingsskogar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46221</v>
      </c>
      <c r="F96" t="inlineStr">
        <is>
          <t>VÄSTMANLANDS LÄN</t>
        </is>
      </c>
      <c r="G96" t="inlineStr">
        <is>
          <t>ARBOGA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45109</v>
      </c>
      <c r="E97" s="1" t="n">
        <v>46221</v>
      </c>
      <c r="F97" t="inlineStr">
        <is>
          <t>VÄSTMANLANDS LÄN</t>
        </is>
      </c>
      <c r="G97" t="inlineStr">
        <is>
          <t>ARBOGA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46221</v>
      </c>
      <c r="F98" t="inlineStr">
        <is>
          <t>VÄSTMANLANDS LÄN</t>
        </is>
      </c>
      <c r="G98" t="inlineStr">
        <is>
          <t>ARBOGA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16576-2024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45408</v>
      </c>
      <c r="E99" s="1" t="n">
        <v>46221</v>
      </c>
      <c r="F99" t="inlineStr">
        <is>
          <t>VÄSTMANLANDS LÄN</t>
        </is>
      </c>
      <c r="G99" t="inlineStr">
        <is>
          <t>ARBOGA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46221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17783-2026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46221</v>
      </c>
      <c r="F101" t="inlineStr">
        <is>
          <t>VÄSTMANLANDS LÄN</t>
        </is>
      </c>
      <c r="G101" t="inlineStr">
        <is>
          <t>ARBOGA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46221</v>
      </c>
      <c r="F102" t="inlineStr">
        <is>
          <t>VÄSTMANLANDS LÄN</t>
        </is>
      </c>
      <c r="G102" t="inlineStr">
        <is>
          <t>ARBOGA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18827-2026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46221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19092-2026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46221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46221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46221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46221</v>
      </c>
      <c r="F107" t="inlineStr">
        <is>
          <t>VÄSTMANLANDS LÄN</t>
        </is>
      </c>
      <c r="G107" t="inlineStr">
        <is>
          <t>ARBOGA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17708-2025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46221</v>
      </c>
      <c r="F108" t="inlineStr">
        <is>
          <t>VÄSTMANLANDS LÄN</t>
        </is>
      </c>
      <c r="G108" t="inlineStr">
        <is>
          <t>ARBOGA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46221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45741</v>
      </c>
      <c r="E110" s="1" t="n">
        <v>46221</v>
      </c>
      <c r="F110" t="inlineStr">
        <is>
          <t>VÄSTMANLANDS LÄN</t>
        </is>
      </c>
      <c r="G110" t="inlineStr">
        <is>
          <t>ARBOGA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22735-2025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46221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46221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46221</v>
      </c>
      <c r="F113" t="inlineStr">
        <is>
          <t>VÄSTMANLANDS LÄN</t>
        </is>
      </c>
      <c r="G113" t="inlineStr">
        <is>
          <t>ARBOGA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46221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60046-2022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46221</v>
      </c>
      <c r="F115" t="inlineStr">
        <is>
          <t>VÄSTMANLANDS LÄN</t>
        </is>
      </c>
      <c r="G115" t="inlineStr">
        <is>
          <t>ARBOGA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44668</v>
      </c>
      <c r="E116" s="1" t="n">
        <v>46221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46221</v>
      </c>
      <c r="F117" t="inlineStr">
        <is>
          <t>VÄSTMANLANDS LÄN</t>
        </is>
      </c>
      <c r="G117" t="inlineStr">
        <is>
          <t>ARBOGA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44662</v>
      </c>
      <c r="E118" s="1" t="n">
        <v>46221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26302-2026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46221</v>
      </c>
      <c r="F119" t="inlineStr">
        <is>
          <t>VÄSTMANLANDS LÄN</t>
        </is>
      </c>
      <c r="G119" t="inlineStr">
        <is>
          <t>ARBOGA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46221</v>
      </c>
      <c r="F120" t="inlineStr">
        <is>
          <t>VÄSTMANLANDS LÄN</t>
        </is>
      </c>
      <c r="G120" t="inlineStr">
        <is>
          <t>ARBOGA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29573-2022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44754</v>
      </c>
      <c r="E121" s="1" t="n">
        <v>46221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53629-2023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46221</v>
      </c>
      <c r="F122" t="inlineStr">
        <is>
          <t>VÄSTMANLANDS LÄN</t>
        </is>
      </c>
      <c r="G122" t="inlineStr">
        <is>
          <t>ARBOGA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44663</v>
      </c>
      <c r="E123" s="1" t="n">
        <v>46221</v>
      </c>
      <c r="F123" t="inlineStr">
        <is>
          <t>VÄSTMANLANDS LÄN</t>
        </is>
      </c>
      <c r="G123" t="inlineStr">
        <is>
          <t>ARBOGA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46221</v>
      </c>
      <c r="F124" t="inlineStr">
        <is>
          <t>VÄSTMANLANDS LÄN</t>
        </is>
      </c>
      <c r="G124" t="inlineStr">
        <is>
          <t>ARBOGA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46221</v>
      </c>
      <c r="F125" t="inlineStr">
        <is>
          <t>VÄSTMANLANDS LÄN</t>
        </is>
      </c>
      <c r="G125" t="inlineStr">
        <is>
          <t>ARBOGA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46221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46221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28033-2026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46221</v>
      </c>
      <c r="F128" t="inlineStr">
        <is>
          <t>VÄSTMANLANDS LÄN</t>
        </is>
      </c>
      <c r="G128" t="inlineStr">
        <is>
          <t>ARBOGA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46221</v>
      </c>
      <c r="F129" t="inlineStr">
        <is>
          <t>VÄSTMANLANDS LÄN</t>
        </is>
      </c>
      <c r="G129" t="inlineStr">
        <is>
          <t>ARBOGA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22392-2026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46221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22355-2026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46221</v>
      </c>
      <c r="F131" t="inlineStr">
        <is>
          <t>VÄSTMANLANDS LÄN</t>
        </is>
      </c>
      <c r="G131" t="inlineStr">
        <is>
          <t>ARBOGA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45817</v>
      </c>
      <c r="E132" s="1" t="n">
        <v>46221</v>
      </c>
      <c r="F132" t="inlineStr">
        <is>
          <t>VÄSTMANLANDS LÄN</t>
        </is>
      </c>
      <c r="G132" t="inlineStr">
        <is>
          <t>ARBOGA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42279-2021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46221</v>
      </c>
      <c r="F133" t="inlineStr">
        <is>
          <t>VÄSTMANLANDS LÄN</t>
        </is>
      </c>
      <c r="G133" t="inlineStr">
        <is>
          <t>ARBOGA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8818-2023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44978</v>
      </c>
      <c r="E134" s="1" t="n">
        <v>46221</v>
      </c>
      <c r="F134" t="inlineStr">
        <is>
          <t>VÄSTMANLANDS LÄN</t>
        </is>
      </c>
      <c r="G134" t="inlineStr">
        <is>
          <t>ARBOGA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22785-2026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46221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22784-2026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46221</v>
      </c>
      <c r="F136" t="inlineStr">
        <is>
          <t>VÄSTMANLANDS LÄN</t>
        </is>
      </c>
      <c r="G136" t="inlineStr">
        <is>
          <t>ARBOGA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22787-2026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46221</v>
      </c>
      <c r="F137" t="inlineStr">
        <is>
          <t>VÄSTMANLANDS LÄN</t>
        </is>
      </c>
      <c r="G137" t="inlineStr">
        <is>
          <t>ARBOGA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46221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23046-2026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46221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46221</v>
      </c>
      <c r="F140" t="inlineStr">
        <is>
          <t>VÄSTMANLANDS LÄN</t>
        </is>
      </c>
      <c r="G140" t="inlineStr">
        <is>
          <t>ARBOGA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46221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53284-2024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46221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48659-2024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46221</v>
      </c>
      <c r="F143" t="inlineStr">
        <is>
          <t>VÄSTMANLANDS LÄN</t>
        </is>
      </c>
      <c r="G143" t="inlineStr">
        <is>
          <t>ARBOGA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44634</v>
      </c>
      <c r="E144" s="1" t="n">
        <v>46221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54094-2023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46221</v>
      </c>
      <c r="F145" t="inlineStr">
        <is>
          <t>VÄSTMANLANDS LÄN</t>
        </is>
      </c>
      <c r="G145" t="inlineStr">
        <is>
          <t>ARBOGA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46221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46221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30066-2026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46221</v>
      </c>
      <c r="F148" t="inlineStr">
        <is>
          <t>VÄSTMANLANDS LÄN</t>
        </is>
      </c>
      <c r="G148" t="inlineStr">
        <is>
          <t>ARBOGA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46221</v>
      </c>
      <c r="F149" t="inlineStr">
        <is>
          <t>VÄSTMANLANDS LÄN</t>
        </is>
      </c>
      <c r="G149" t="inlineStr">
        <is>
          <t>ARBOGA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46221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46221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30063-2026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46221</v>
      </c>
      <c r="F152" t="inlineStr">
        <is>
          <t>VÄSTMANLANDS LÄN</t>
        </is>
      </c>
      <c r="G152" t="inlineStr">
        <is>
          <t>ARBOGA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59715-2021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46221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24360-2026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46221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24334-2026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46221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46221</v>
      </c>
      <c r="F156" t="inlineStr">
        <is>
          <t>VÄSTMANLANDS LÄN</t>
        </is>
      </c>
      <c r="G156" t="inlineStr">
        <is>
          <t>ARBOGA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46221</v>
      </c>
      <c r="F157" t="inlineStr">
        <is>
          <t>VÄSTMANLANDS LÄN</t>
        </is>
      </c>
      <c r="G157" t="inlineStr">
        <is>
          <t>ARBOGA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46221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46221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46221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46221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46221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46221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46221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46221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46221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46221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46221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26103-2026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46221</v>
      </c>
      <c r="F169" t="inlineStr">
        <is>
          <t>VÄSTMANLANDS LÄN</t>
        </is>
      </c>
      <c r="G169" t="inlineStr">
        <is>
          <t>ARBOGA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26136-2026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46221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46221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46221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46221</v>
      </c>
      <c r="F173" t="inlineStr">
        <is>
          <t>VÄSTMANLANDS LÄN</t>
        </is>
      </c>
      <c r="G173" t="inlineStr">
        <is>
          <t>ARBOGA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37601-2023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46221</v>
      </c>
      <c r="F174" t="inlineStr">
        <is>
          <t>VÄSTMANLANDS LÄN</t>
        </is>
      </c>
      <c r="G174" t="inlineStr">
        <is>
          <t>ARBOGA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46221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46221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46221</v>
      </c>
      <c r="F177" t="inlineStr">
        <is>
          <t>VÄSTMANLANDS LÄN</t>
        </is>
      </c>
      <c r="G177" t="inlineStr">
        <is>
          <t>ARBOGA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46221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46221</v>
      </c>
      <c r="F179" t="inlineStr">
        <is>
          <t>VÄSTMANLANDS LÄN</t>
        </is>
      </c>
      <c r="G179" t="inlineStr">
        <is>
          <t>ARBOGA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46221</v>
      </c>
      <c r="F180" t="inlineStr">
        <is>
          <t>VÄSTMANLANDS LÄN</t>
        </is>
      </c>
      <c r="G180" t="inlineStr">
        <is>
          <t>ARBOGA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46221</v>
      </c>
      <c r="F181" t="inlineStr">
        <is>
          <t>VÄSTMANLANDS LÄN</t>
        </is>
      </c>
      <c r="G181" t="inlineStr">
        <is>
          <t>ARBOGA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65255-2023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46221</v>
      </c>
      <c r="F182" t="inlineStr">
        <is>
          <t>VÄSTMANLANDS LÄN</t>
        </is>
      </c>
      <c r="G182" t="inlineStr">
        <is>
          <t>ARBOGA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46221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46221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46221</v>
      </c>
      <c r="F185" t="inlineStr">
        <is>
          <t>VÄSTMANLANDS LÄN</t>
        </is>
      </c>
      <c r="G185" t="inlineStr">
        <is>
          <t>ARBOGA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46221</v>
      </c>
      <c r="F186" t="inlineStr">
        <is>
          <t>VÄSTMANLANDS LÄN</t>
        </is>
      </c>
      <c r="G186" t="inlineStr">
        <is>
          <t>ARBOGA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46221</v>
      </c>
      <c r="F187" t="inlineStr">
        <is>
          <t>VÄSTMANLANDS LÄN</t>
        </is>
      </c>
      <c r="G187" t="inlineStr">
        <is>
          <t>ARBOGA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38788-2024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46221</v>
      </c>
      <c r="F188" t="inlineStr">
        <is>
          <t>VÄSTMANLANDS LÄN</t>
        </is>
      </c>
      <c r="G188" t="inlineStr">
        <is>
          <t>ARBOGA</t>
        </is>
      </c>
      <c r="H188" t="inlineStr">
        <is>
          <t>Allmännings- och besparingsskogar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2026-07-18T01:23:57Z</dcterms:created>
  <dcterms:modified xmlns:dcterms="http://purl.org/dc/terms/" xmlns:xsi="http://www.w3.org/2001/XMLSchema-instance" xsi:type="dcterms:W3CDTF">2026-07-18T01:23:57Z</dcterms:modified>
</cp:coreProperties>
</file>